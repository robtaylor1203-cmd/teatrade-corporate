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jclarkeltd-my.sharepoint.com/personal/drew_mjclarkeltd_com/Documents/Documents/"/>
    </mc:Choice>
  </mc:AlternateContent>
  <xr:revisionPtr revIDLastSave="12" documentId="8_{FE269A85-4531-4C5B-912C-811CEAECD371}" xr6:coauthVersionLast="47" xr6:coauthVersionMax="47" xr10:uidLastSave="{16A96DC7-83EE-40A2-9A90-B81112505BDA}"/>
  <bookViews>
    <workbookView xWindow="-110" yWindow="-110" windowWidth="19420" windowHeight="11500" xr2:uid="{00000000-000D-0000-FFFF-FFFF00000000}"/>
  </bookViews>
  <sheets>
    <sheet name="cropfig23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2" l="1"/>
  <c r="B8" i="42" s="1"/>
  <c r="B11" i="42" s="1"/>
  <c r="B14" i="42" s="1"/>
  <c r="B17" i="42" s="1"/>
  <c r="B20" i="42" s="1"/>
  <c r="B23" i="42" s="1"/>
  <c r="D16" i="42"/>
  <c r="D13" i="42"/>
  <c r="D10" i="42"/>
  <c r="D7" i="42"/>
  <c r="D5" i="42"/>
  <c r="E37" i="42"/>
  <c r="E34" i="42"/>
  <c r="E31" i="42"/>
  <c r="E28" i="42"/>
  <c r="E25" i="42"/>
  <c r="E22" i="42"/>
  <c r="E19" i="42"/>
  <c r="E16" i="42"/>
  <c r="E13" i="42"/>
  <c r="E10" i="42"/>
  <c r="E7" i="42"/>
  <c r="E5" i="42"/>
  <c r="F16" i="42"/>
  <c r="F13" i="42"/>
  <c r="F10" i="42"/>
  <c r="F7" i="42"/>
  <c r="F5" i="42"/>
  <c r="G5" i="42"/>
  <c r="G8" i="42" s="1"/>
  <c r="G11" i="42" s="1"/>
  <c r="G14" i="42" s="1"/>
  <c r="G17" i="42" s="1"/>
  <c r="G20" i="42" s="1"/>
  <c r="G23" i="42" s="1"/>
  <c r="G26" i="42" s="1"/>
  <c r="G29" i="42" s="1"/>
  <c r="G32" i="42" s="1"/>
  <c r="G35" i="42" s="1"/>
  <c r="G38" i="42" s="1"/>
  <c r="H35" i="42"/>
  <c r="C5" i="42" l="1"/>
  <c r="D8" i="42"/>
  <c r="F8" i="42"/>
  <c r="F11" i="42" s="1"/>
  <c r="F14" i="42" s="1"/>
  <c r="F17" i="42" s="1"/>
  <c r="F20" i="42" s="1"/>
  <c r="F23" i="42" s="1"/>
  <c r="F26" i="42" s="1"/>
  <c r="F29" i="42" s="1"/>
  <c r="F32" i="42" s="1"/>
  <c r="F35" i="42" s="1"/>
  <c r="F38" i="42" s="1"/>
  <c r="E8" i="42"/>
  <c r="E11" i="42" s="1"/>
  <c r="E14" i="42" s="1"/>
  <c r="E17" i="42" s="1"/>
  <c r="E20" i="42" s="1"/>
  <c r="E23" i="42" s="1"/>
  <c r="E26" i="42" s="1"/>
  <c r="E29" i="42" s="1"/>
  <c r="E32" i="42" s="1"/>
  <c r="E35" i="42" s="1"/>
  <c r="E38" i="42" s="1"/>
  <c r="H8" i="42"/>
  <c r="H11" i="42" s="1"/>
  <c r="H14" i="42" s="1"/>
  <c r="H17" i="42" s="1"/>
  <c r="H20" i="42" s="1"/>
  <c r="H23" i="42" s="1"/>
  <c r="H26" i="42" s="1"/>
  <c r="H29" i="42" s="1"/>
  <c r="H32" i="42" s="1"/>
  <c r="H34" i="42" s="1"/>
  <c r="D11" i="42" l="1"/>
  <c r="C8" i="42"/>
  <c r="I8" i="42"/>
  <c r="I11" i="42" s="1"/>
  <c r="D14" i="42" l="1"/>
  <c r="C11" i="42"/>
  <c r="I14" i="42"/>
  <c r="I17" i="42" s="1"/>
  <c r="I20" i="42" s="1"/>
  <c r="I23" i="42" s="1"/>
  <c r="I26" i="42" s="1"/>
  <c r="I29" i="42" s="1"/>
  <c r="I32" i="42" s="1"/>
  <c r="D17" i="42" l="1"/>
  <c r="C14" i="42"/>
  <c r="I35" i="42"/>
  <c r="I38" i="42" s="1"/>
  <c r="L37" i="42"/>
  <c r="L34" i="42"/>
  <c r="L31" i="42"/>
  <c r="L28" i="42"/>
  <c r="L25" i="42"/>
  <c r="L22" i="42"/>
  <c r="L19" i="42"/>
  <c r="L16" i="42"/>
  <c r="L13" i="42"/>
  <c r="L10" i="42"/>
  <c r="L7" i="42"/>
  <c r="L5" i="42"/>
  <c r="J8" i="42"/>
  <c r="J11" i="42" s="1"/>
  <c r="K8" i="42"/>
  <c r="L8" i="42" s="1"/>
  <c r="M8" i="42"/>
  <c r="M11" i="42" s="1"/>
  <c r="M14" i="42" s="1"/>
  <c r="M17" i="42" s="1"/>
  <c r="M20" i="42" s="1"/>
  <c r="M23" i="42" s="1"/>
  <c r="M26" i="42" s="1"/>
  <c r="M29" i="42" s="1"/>
  <c r="O37" i="42"/>
  <c r="O34" i="42"/>
  <c r="O31" i="42"/>
  <c r="O28" i="42"/>
  <c r="O25" i="42"/>
  <c r="O22" i="42"/>
  <c r="O19" i="42"/>
  <c r="O16" i="42"/>
  <c r="O13" i="42"/>
  <c r="O10" i="42"/>
  <c r="O7" i="42"/>
  <c r="O5" i="42"/>
  <c r="M30" i="42"/>
  <c r="D20" i="42" l="1"/>
  <c r="C17" i="42"/>
  <c r="M32" i="42"/>
  <c r="M35" i="42" s="1"/>
  <c r="M38" i="42" s="1"/>
  <c r="J14" i="42"/>
  <c r="J17" i="42" s="1"/>
  <c r="J20" i="42" s="1"/>
  <c r="J23" i="42" s="1"/>
  <c r="J26" i="42" s="1"/>
  <c r="J29" i="42" s="1"/>
  <c r="J32" i="42" s="1"/>
  <c r="J35" i="42" s="1"/>
  <c r="J38" i="42" s="1"/>
  <c r="K11" i="42"/>
  <c r="K14" i="42" s="1"/>
  <c r="K17" i="42" s="1"/>
  <c r="N8" i="42"/>
  <c r="P8" i="42"/>
  <c r="P11" i="42" s="1"/>
  <c r="P14" i="42" s="1"/>
  <c r="P17" i="42" s="1"/>
  <c r="P20" i="42" s="1"/>
  <c r="P23" i="42" s="1"/>
  <c r="P26" i="42" s="1"/>
  <c r="P29" i="42" s="1"/>
  <c r="P32" i="42" s="1"/>
  <c r="P35" i="42" s="1"/>
  <c r="P38" i="42" s="1"/>
  <c r="Q38" i="42"/>
  <c r="Q8" i="42"/>
  <c r="V38" i="42"/>
  <c r="T38" i="42"/>
  <c r="S38" i="42"/>
  <c r="T8" i="42"/>
  <c r="T11" i="42" s="1"/>
  <c r="T14" i="42" s="1"/>
  <c r="T17" i="42" s="1"/>
  <c r="T20" i="42" s="1"/>
  <c r="T23" i="42" s="1"/>
  <c r="T26" i="42" s="1"/>
  <c r="T29" i="42" s="1"/>
  <c r="T32" i="42" s="1"/>
  <c r="T35" i="42" s="1"/>
  <c r="R8" i="42"/>
  <c r="R11" i="42" s="1"/>
  <c r="R14" i="42" s="1"/>
  <c r="R17" i="42" s="1"/>
  <c r="R20" i="42" s="1"/>
  <c r="R23" i="42" s="1"/>
  <c r="R26" i="42" s="1"/>
  <c r="R29" i="42" s="1"/>
  <c r="R32" i="42" s="1"/>
  <c r="R35" i="42" s="1"/>
  <c r="V11" i="42"/>
  <c r="U8" i="42"/>
  <c r="D23" i="42" l="1"/>
  <c r="C20" i="42"/>
  <c r="L11" i="42"/>
  <c r="L14" i="42"/>
  <c r="N11" i="42"/>
  <c r="O8" i="42"/>
  <c r="L17" i="42"/>
  <c r="K20" i="42"/>
  <c r="D26" i="42" l="1"/>
  <c r="D29" i="42" s="1"/>
  <c r="D32" i="42" s="1"/>
  <c r="D35" i="42" s="1"/>
  <c r="D37" i="42" s="1"/>
  <c r="C23" i="42"/>
  <c r="L20" i="42"/>
  <c r="K23" i="42"/>
  <c r="N14" i="42"/>
  <c r="O11" i="42"/>
  <c r="N17" i="42" l="1"/>
  <c r="O14" i="42"/>
  <c r="K26" i="42"/>
  <c r="L23" i="42"/>
  <c r="K29" i="42" l="1"/>
  <c r="L26" i="42"/>
  <c r="N20" i="42"/>
  <c r="O17" i="42"/>
  <c r="N23" i="42" l="1"/>
  <c r="O20" i="42"/>
  <c r="L29" i="42"/>
  <c r="K32" i="42"/>
  <c r="L32" i="42" l="1"/>
  <c r="K35" i="42"/>
  <c r="N26" i="42"/>
  <c r="O23" i="42"/>
  <c r="K38" i="42" l="1"/>
  <c r="L38" i="42" s="1"/>
  <c r="L35" i="42"/>
  <c r="O26" i="42"/>
  <c r="N29" i="42"/>
  <c r="O29" i="42" l="1"/>
  <c r="N32" i="42"/>
  <c r="O32" i="42" l="1"/>
  <c r="N35" i="42"/>
  <c r="O35" i="42" l="1"/>
  <c r="N38" i="42"/>
  <c r="O38" i="42" s="1"/>
</calcChain>
</file>

<file path=xl/sharedStrings.xml><?xml version="1.0" encoding="utf-8"?>
<sst xmlns="http://schemas.openxmlformats.org/spreadsheetml/2006/main" count="282" uniqueCount="248">
  <si>
    <t>JANUARY</t>
  </si>
  <si>
    <t>27.009.133</t>
  </si>
  <si>
    <t>21.767.592</t>
  </si>
  <si>
    <t>31.344.064</t>
  </si>
  <si>
    <t>FEBRUARY</t>
  </si>
  <si>
    <t>14.997.509</t>
  </si>
  <si>
    <t>14.510.525</t>
  </si>
  <si>
    <t>26.728.013</t>
  </si>
  <si>
    <t>TO-DATE</t>
  </si>
  <si>
    <t>42.006.642</t>
  </si>
  <si>
    <t>36.278.117</t>
  </si>
  <si>
    <t>58.072.077</t>
  </si>
  <si>
    <t>MARCH</t>
  </si>
  <si>
    <t>11.858.066</t>
  </si>
  <si>
    <t>13.974.815</t>
  </si>
  <si>
    <t>28.425.493</t>
  </si>
  <si>
    <t>53.864.708</t>
  </si>
  <si>
    <t>50.252.932</t>
  </si>
  <si>
    <t>86.497.570</t>
  </si>
  <si>
    <t>APRIL</t>
  </si>
  <si>
    <t>15.067.046</t>
  </si>
  <si>
    <t>26.313.455</t>
  </si>
  <si>
    <t>26.760.103</t>
  </si>
  <si>
    <t>68.931.754</t>
  </si>
  <si>
    <t>76.566.387</t>
  </si>
  <si>
    <t>113.257.673</t>
  </si>
  <si>
    <t>MAY</t>
  </si>
  <si>
    <t>21.786.020</t>
  </si>
  <si>
    <t>24.964.246</t>
  </si>
  <si>
    <t>98.352.407</t>
  </si>
  <si>
    <t>138.221.919</t>
  </si>
  <si>
    <t>JUNE</t>
  </si>
  <si>
    <t>19.684.541</t>
  </si>
  <si>
    <t>22.725.247</t>
  </si>
  <si>
    <t>118.036.948</t>
  </si>
  <si>
    <t>160.947.166</t>
  </si>
  <si>
    <t>JULY</t>
  </si>
  <si>
    <t>17.870.784</t>
  </si>
  <si>
    <t>17.283.670</t>
  </si>
  <si>
    <t>135.907.732</t>
  </si>
  <si>
    <t>178.230.836</t>
  </si>
  <si>
    <t>AUGUST</t>
  </si>
  <si>
    <t>16.228.721</t>
  </si>
  <si>
    <t>16.820.427</t>
  </si>
  <si>
    <t>152.136.453</t>
  </si>
  <si>
    <t>195.051.263</t>
  </si>
  <si>
    <t>21.335.926</t>
  </si>
  <si>
    <t>22.037.845</t>
  </si>
  <si>
    <t>173.472.379</t>
  </si>
  <si>
    <t>217.089.108</t>
  </si>
  <si>
    <t>OCTOBER</t>
  </si>
  <si>
    <t>24.283.536</t>
  </si>
  <si>
    <t>27.991.279</t>
  </si>
  <si>
    <t>197.755.915</t>
  </si>
  <si>
    <t>245.080.387</t>
  </si>
  <si>
    <t>NOVEMBER</t>
  </si>
  <si>
    <t>23.877.362</t>
  </si>
  <si>
    <t>22.571.309</t>
  </si>
  <si>
    <t>221.633.277</t>
  </si>
  <si>
    <t>267.651.696</t>
  </si>
  <si>
    <t>DECEMBER</t>
  </si>
  <si>
    <t>27.184.741</t>
  </si>
  <si>
    <t>26.513.401</t>
  </si>
  <si>
    <t>TOTAL</t>
  </si>
  <si>
    <t>248.818.018</t>
  </si>
  <si>
    <t>294.165.097</t>
  </si>
  <si>
    <t>91.366.311</t>
  </si>
  <si>
    <t>KENYA CROP FIGURES</t>
  </si>
  <si>
    <t>17.280.773</t>
  </si>
  <si>
    <t>108.647.084</t>
  </si>
  <si>
    <t>22.434.557</t>
  </si>
  <si>
    <t>123.720.270</t>
  </si>
  <si>
    <t>16.163.230</t>
  </si>
  <si>
    <t>139.883.500</t>
  </si>
  <si>
    <t xml:space="preserve">  15.073.186</t>
  </si>
  <si>
    <t>20.413.067</t>
  </si>
  <si>
    <t>160.296.567</t>
  </si>
  <si>
    <t>22.170.409</t>
  </si>
  <si>
    <t>182.466.976</t>
  </si>
  <si>
    <t>24.123.450</t>
  </si>
  <si>
    <t>206.590.426</t>
  </si>
  <si>
    <t>236.286.068</t>
  </si>
  <si>
    <t>29.695.642</t>
  </si>
  <si>
    <t xml:space="preserve"> </t>
  </si>
  <si>
    <t>29.239.841</t>
  </si>
  <si>
    <t>27.813.717</t>
  </si>
  <si>
    <t>57.053.558</t>
  </si>
  <si>
    <t>24.382.857</t>
  </si>
  <si>
    <t>28.186.801</t>
  </si>
  <si>
    <t>19.295.545</t>
  </si>
  <si>
    <t>17.427.770</t>
  </si>
  <si>
    <t>21.537.812</t>
  </si>
  <si>
    <t>SEPTEMBER</t>
  </si>
  <si>
    <t>26.002.070</t>
  </si>
  <si>
    <t>83.055.628</t>
  </si>
  <si>
    <t>107.438.485</t>
  </si>
  <si>
    <t>135.625.286</t>
  </si>
  <si>
    <t>154.920.831</t>
  </si>
  <si>
    <t>172.348.601</t>
  </si>
  <si>
    <t>193.886.413</t>
  </si>
  <si>
    <t>22.888.797</t>
  </si>
  <si>
    <t>216.775.210</t>
  </si>
  <si>
    <t>24.476.607</t>
  </si>
  <si>
    <t>241.251.817</t>
  </si>
  <si>
    <t>23.617.479</t>
  </si>
  <si>
    <t>264.869.296</t>
  </si>
  <si>
    <t>29.762.042</t>
  </si>
  <si>
    <t>294.631.338</t>
  </si>
  <si>
    <t>27.349.718</t>
  </si>
  <si>
    <t>21.304.076</t>
  </si>
  <si>
    <t>48.653.794</t>
  </si>
  <si>
    <t>21.514.125</t>
  </si>
  <si>
    <t>70.167.919</t>
  </si>
  <si>
    <t>27.951.745</t>
  </si>
  <si>
    <t>98.119.664</t>
  </si>
  <si>
    <t>24.117.813</t>
  </si>
  <si>
    <t>122.237.477</t>
  </si>
  <si>
    <t>21.003.000</t>
  </si>
  <si>
    <t>143.240.477</t>
  </si>
  <si>
    <t>19.211.576</t>
  </si>
  <si>
    <t>162.452.053</t>
  </si>
  <si>
    <t>18.719.092</t>
  </si>
  <si>
    <t>181.171.145</t>
  </si>
  <si>
    <t>23.119.008</t>
  </si>
  <si>
    <t>204.290.153</t>
  </si>
  <si>
    <t>27.131.059</t>
  </si>
  <si>
    <t>25.782.385</t>
  </si>
  <si>
    <t>257.203.597</t>
  </si>
  <si>
    <t>231.421.212</t>
  </si>
  <si>
    <t>29.842.177</t>
  </si>
  <si>
    <t>287.045.774</t>
  </si>
  <si>
    <t>32.791.617</t>
  </si>
  <si>
    <t>23.611.630</t>
  </si>
  <si>
    <t>56.403.247</t>
  </si>
  <si>
    <t>15.074.564</t>
  </si>
  <si>
    <t>71.477.811</t>
  </si>
  <si>
    <t>19.262.873</t>
  </si>
  <si>
    <t>90.740.684</t>
  </si>
  <si>
    <t>26.046.077</t>
  </si>
  <si>
    <t>116.786.761</t>
  </si>
  <si>
    <t>19.487.966</t>
  </si>
  <si>
    <t>136.274.727</t>
  </si>
  <si>
    <t>18.947.233</t>
  </si>
  <si>
    <t>155.221.960</t>
  </si>
  <si>
    <t>19.895.172</t>
  </si>
  <si>
    <t>175.117.132</t>
  </si>
  <si>
    <t>26.371.403</t>
  </si>
  <si>
    <t>201.488.535</t>
  </si>
  <si>
    <t>31.597.015</t>
  </si>
  <si>
    <t>233.085.550</t>
  </si>
  <si>
    <t>27.661.152</t>
  </si>
  <si>
    <t>260.746.702</t>
  </si>
  <si>
    <t>32.923.539</t>
  </si>
  <si>
    <t>293.670.241</t>
  </si>
  <si>
    <t>31.145.057</t>
  </si>
  <si>
    <t>28.110.369</t>
  </si>
  <si>
    <t>59.255.426</t>
  </si>
  <si>
    <t>28.884.381</t>
  </si>
  <si>
    <t>88.139.807</t>
  </si>
  <si>
    <t>29.381.625</t>
  </si>
  <si>
    <t>117.521.432</t>
  </si>
  <si>
    <t>145.908.617</t>
  </si>
  <si>
    <t>28.387.185</t>
  </si>
  <si>
    <t>23.978.132</t>
  </si>
  <si>
    <t>169.886.749</t>
  </si>
  <si>
    <t>18.657.973</t>
  </si>
  <si>
    <t>18.885.279</t>
  </si>
  <si>
    <t>207.430.001</t>
  </si>
  <si>
    <t>188.544.722</t>
  </si>
  <si>
    <t>23.057.276</t>
  </si>
  <si>
    <t>230.487.277</t>
  </si>
  <si>
    <t>27.423.830</t>
  </si>
  <si>
    <t>257.911.107</t>
  </si>
  <si>
    <t>32.067.682</t>
  </si>
  <si>
    <t>289.978.789</t>
  </si>
  <si>
    <t>34.629.781</t>
  </si>
  <si>
    <t>324.608.570</t>
  </si>
  <si>
    <t>34.116.412</t>
  </si>
  <si>
    <t>25.839.538</t>
  </si>
  <si>
    <t>59.955.950</t>
  </si>
  <si>
    <t>24.846.222</t>
  </si>
  <si>
    <t>84.802.172</t>
  </si>
  <si>
    <t>29.115.120</t>
  </si>
  <si>
    <t>113.917.292</t>
  </si>
  <si>
    <t>28.781.242</t>
  </si>
  <si>
    <t>142.698.534</t>
  </si>
  <si>
    <t>24.045.399</t>
  </si>
  <si>
    <t>166.743.933</t>
  </si>
  <si>
    <t>20.844.891</t>
  </si>
  <si>
    <t>187.588.824</t>
  </si>
  <si>
    <t>21.789.639</t>
  </si>
  <si>
    <t>209.378.463</t>
  </si>
  <si>
    <t>26.977.861</t>
  </si>
  <si>
    <t>236.356.324</t>
  </si>
  <si>
    <t>32.258.551</t>
  </si>
  <si>
    <t>30.080.980</t>
  </si>
  <si>
    <t>268.614.875</t>
  </si>
  <si>
    <t>298.695.855</t>
  </si>
  <si>
    <t>29.801.769</t>
  </si>
  <si>
    <t>328.497.624</t>
  </si>
  <si>
    <t>17.939.420</t>
  </si>
  <si>
    <t>11.674.911</t>
  </si>
  <si>
    <t>29.614.331</t>
  </si>
  <si>
    <t>49.470.774</t>
  </si>
  <si>
    <t>19.856.443</t>
  </si>
  <si>
    <t>30.421.963</t>
  </si>
  <si>
    <t>79.892.737</t>
  </si>
  <si>
    <t>26.446.579</t>
  </si>
  <si>
    <t>106.339.316</t>
  </si>
  <si>
    <t>27.795.116</t>
  </si>
  <si>
    <t>134.134.432</t>
  </si>
  <si>
    <t>23.753.068</t>
  </si>
  <si>
    <t>157.887.500</t>
  </si>
  <si>
    <t>23.211.740</t>
  </si>
  <si>
    <t>181.099.240</t>
  </si>
  <si>
    <t>28.647.545</t>
  </si>
  <si>
    <t>209.746.785</t>
  </si>
  <si>
    <t>34.773.033</t>
  </si>
  <si>
    <t>244.519.818</t>
  </si>
  <si>
    <t>31.658.283</t>
  </si>
  <si>
    <t>276.178.101</t>
  </si>
  <si>
    <t>34.399.941</t>
  </si>
  <si>
    <t>310.578.042</t>
  </si>
  <si>
    <t>41.606.370</t>
  </si>
  <si>
    <t>34.383.829</t>
  </si>
  <si>
    <t>76.445.199</t>
  </si>
  <si>
    <t>30.671.659</t>
  </si>
  <si>
    <t>32.256.492</t>
  </si>
  <si>
    <t>108.701.691</t>
  </si>
  <si>
    <t>139.373.350</t>
  </si>
  <si>
    <t>32.075.200</t>
  </si>
  <si>
    <t>171.448.550</t>
  </si>
  <si>
    <t>27.333.181</t>
  </si>
  <si>
    <t>198.781.731</t>
  </si>
  <si>
    <t>22.742.136</t>
  </si>
  <si>
    <t>221.523.867</t>
  </si>
  <si>
    <t>22.752.165</t>
  </si>
  <si>
    <t>244.276.032</t>
  </si>
  <si>
    <t>28.952.710</t>
  </si>
  <si>
    <t>273.228.742</t>
  </si>
  <si>
    <t>35.209.644</t>
  </si>
  <si>
    <t>308.438.386</t>
  </si>
  <si>
    <t>32.336.151</t>
  </si>
  <si>
    <t>340.774.537</t>
  </si>
  <si>
    <t>28.831.639</t>
  </si>
  <si>
    <t>369.606.176</t>
  </si>
  <si>
    <t>`</t>
  </si>
  <si>
    <t>% Cumulative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</si>
</sst>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1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8"/>
      <name val="Gill Sans MT Shadow"/>
      <family val="2"/>
    </font>
    <font>
      <sz val="14"/>
      <name val="Arial Rounded MT Bold"/>
      <family val="2"/>
    </font>
    <font>
      <sz val="10"/>
      <name val="Stencil Sans"/>
      <family val="5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Black"/>
      <family val="2"/>
    </font>
    <font>
      <sz val="12"/>
      <name val="Arial Black"/>
      <family val="2"/>
    </font>
    <font>
      <b/>
      <sz val="11"/>
      <color indexed="4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b/>
      <u val="singleAccounting"/>
      <sz val="10"/>
      <color indexed="52"/>
      <name val="Arial"/>
      <family val="2"/>
    </font>
    <font>
      <sz val="8"/>
      <name val="Arial"/>
      <family val="2"/>
    </font>
    <font>
      <b/>
      <sz val="12"/>
      <color indexed="52"/>
      <name val="Arial"/>
      <family val="2"/>
    </font>
    <font>
      <b/>
      <u val="singleAccounting"/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5" fillId="0" borderId="0" xfId="0" applyFont="1"/>
    <xf numFmtId="166" fontId="11" fillId="0" borderId="0" xfId="1" applyNumberFormat="1" applyFont="1"/>
    <xf numFmtId="0" fontId="7" fillId="0" borderId="3" xfId="0" applyFont="1" applyBorder="1"/>
    <xf numFmtId="166" fontId="7" fillId="0" borderId="5" xfId="1" applyNumberFormat="1" applyFont="1" applyBorder="1"/>
    <xf numFmtId="166" fontId="7" fillId="0" borderId="2" xfId="1" applyNumberFormat="1" applyFont="1" applyBorder="1"/>
    <xf numFmtId="166" fontId="8" fillId="0" borderId="2" xfId="1" applyNumberFormat="1" applyFont="1" applyBorder="1"/>
    <xf numFmtId="0" fontId="12" fillId="0" borderId="2" xfId="0" applyFont="1" applyBorder="1" applyAlignment="1">
      <alignment horizontal="center"/>
    </xf>
    <xf numFmtId="166" fontId="13" fillId="0" borderId="2" xfId="1" applyNumberFormat="1" applyFont="1" applyBorder="1"/>
    <xf numFmtId="166" fontId="14" fillId="0" borderId="2" xfId="1" applyNumberFormat="1" applyFont="1" applyBorder="1"/>
    <xf numFmtId="0" fontId="16" fillId="0" borderId="4" xfId="0" applyFont="1" applyBorder="1" applyAlignment="1">
      <alignment horizontal="center"/>
    </xf>
    <xf numFmtId="166" fontId="17" fillId="0" borderId="2" xfId="1" applyNumberFormat="1" applyFont="1" applyBorder="1"/>
    <xf numFmtId="0" fontId="6" fillId="0" borderId="9" xfId="0" applyFont="1" applyBorder="1" applyAlignment="1">
      <alignment horizontal="center"/>
    </xf>
    <xf numFmtId="166" fontId="2" fillId="0" borderId="0" xfId="1" applyNumberFormat="1" applyFont="1" applyBorder="1"/>
    <xf numFmtId="0" fontId="2" fillId="0" borderId="1" xfId="0" applyFont="1" applyBorder="1"/>
    <xf numFmtId="0" fontId="6" fillId="0" borderId="11" xfId="0" applyFont="1" applyBorder="1" applyAlignment="1">
      <alignment horizontal="center"/>
    </xf>
    <xf numFmtId="43" fontId="2" fillId="0" borderId="8" xfId="1" applyFont="1" applyBorder="1"/>
    <xf numFmtId="166" fontId="2" fillId="0" borderId="8" xfId="1" applyNumberFormat="1" applyFont="1" applyBorder="1"/>
    <xf numFmtId="0" fontId="2" fillId="0" borderId="0" xfId="0" applyFont="1"/>
    <xf numFmtId="0" fontId="3" fillId="0" borderId="10" xfId="0" applyFont="1" applyBorder="1" applyAlignment="1">
      <alignment horizontal="centerContinuous"/>
    </xf>
    <xf numFmtId="0" fontId="4" fillId="0" borderId="10" xfId="0" applyFont="1" applyBorder="1" applyAlignment="1">
      <alignment horizontal="centerContinuous"/>
    </xf>
    <xf numFmtId="0" fontId="0" fillId="0" borderId="10" xfId="0" applyBorder="1"/>
    <xf numFmtId="0" fontId="4" fillId="0" borderId="1" xfId="0" applyFont="1" applyBorder="1" applyAlignment="1">
      <alignment horizontal="centerContinuous"/>
    </xf>
    <xf numFmtId="0" fontId="6" fillId="0" borderId="13" xfId="0" applyFont="1" applyBorder="1" applyAlignment="1">
      <alignment horizontal="center"/>
    </xf>
    <xf numFmtId="166" fontId="2" fillId="0" borderId="13" xfId="1" applyNumberFormat="1" applyFont="1" applyBorder="1"/>
    <xf numFmtId="0" fontId="10" fillId="0" borderId="8" xfId="0" applyFont="1" applyBorder="1"/>
    <xf numFmtId="0" fontId="0" fillId="0" borderId="13" xfId="0" applyBorder="1"/>
    <xf numFmtId="0" fontId="6" fillId="0" borderId="14" xfId="0" applyFont="1" applyBorder="1" applyAlignment="1">
      <alignment horizontal="center"/>
    </xf>
    <xf numFmtId="0" fontId="9" fillId="0" borderId="15" xfId="0" applyFont="1" applyBorder="1"/>
    <xf numFmtId="0" fontId="10" fillId="0" borderId="15" xfId="0" applyFont="1" applyBorder="1"/>
    <xf numFmtId="0" fontId="0" fillId="0" borderId="12" xfId="0" applyBorder="1"/>
    <xf numFmtId="0" fontId="9" fillId="0" borderId="8" xfId="0" applyFont="1" applyBorder="1"/>
    <xf numFmtId="0" fontId="3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/>
    </xf>
    <xf numFmtId="0" fontId="0" fillId="0" borderId="8" xfId="0" applyBorder="1"/>
    <xf numFmtId="43" fontId="1" fillId="0" borderId="8" xfId="1" applyFont="1" applyBorder="1"/>
    <xf numFmtId="166" fontId="2" fillId="0" borderId="8" xfId="1" applyNumberFormat="1" applyFont="1" applyFill="1" applyBorder="1"/>
    <xf numFmtId="166" fontId="2" fillId="0" borderId="7" xfId="1" applyNumberFormat="1" applyFont="1" applyBorder="1"/>
    <xf numFmtId="166" fontId="2" fillId="0" borderId="2" xfId="1" applyNumberFormat="1" applyFont="1" applyBorder="1"/>
    <xf numFmtId="166" fontId="1" fillId="0" borderId="2" xfId="1" applyNumberFormat="1" applyFont="1" applyBorder="1"/>
    <xf numFmtId="0" fontId="2" fillId="0" borderId="8" xfId="0" applyFont="1" applyBorder="1"/>
    <xf numFmtId="165" fontId="2" fillId="0" borderId="8" xfId="2" applyNumberFormat="1" applyFont="1" applyBorder="1"/>
    <xf numFmtId="165" fontId="2" fillId="0" borderId="8" xfId="1" applyNumberFormat="1" applyFont="1" applyBorder="1"/>
    <xf numFmtId="3" fontId="2" fillId="0" borderId="2" xfId="0" applyNumberFormat="1" applyFont="1" applyBorder="1" applyAlignment="1">
      <alignment horizontal="right"/>
    </xf>
    <xf numFmtId="166" fontId="17" fillId="0" borderId="0" xfId="1" applyNumberFormat="1" applyFont="1" applyBorder="1"/>
    <xf numFmtId="0" fontId="2" fillId="0" borderId="13" xfId="0" applyFont="1" applyBorder="1"/>
    <xf numFmtId="0" fontId="2" fillId="0" borderId="3" xfId="0" applyFont="1" applyBorder="1"/>
    <xf numFmtId="166" fontId="2" fillId="0" borderId="3" xfId="1" applyNumberFormat="1" applyFont="1" applyBorder="1"/>
    <xf numFmtId="165" fontId="18" fillId="0" borderId="0" xfId="1" applyNumberFormat="1" applyFont="1" applyBorder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6" fontId="18" fillId="0" borderId="0" xfId="1" applyNumberFormat="1" applyFont="1"/>
    <xf numFmtId="166" fontId="2" fillId="0" borderId="8" xfId="0" applyNumberFormat="1" applyFont="1" applyBorder="1"/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6" fontId="2" fillId="0" borderId="18" xfId="1" applyNumberFormat="1" applyFont="1" applyBorder="1"/>
    <xf numFmtId="0" fontId="9" fillId="0" borderId="18" xfId="0" applyFont="1" applyBorder="1"/>
    <xf numFmtId="0" fontId="10" fillId="0" borderId="18" xfId="0" applyFont="1" applyBorder="1"/>
    <xf numFmtId="0" fontId="2" fillId="0" borderId="17" xfId="0" applyFont="1" applyBorder="1"/>
    <xf numFmtId="0" fontId="0" fillId="0" borderId="17" xfId="0" applyBorder="1"/>
    <xf numFmtId="166" fontId="2" fillId="0" borderId="19" xfId="1" applyNumberFormat="1" applyFont="1" applyFill="1" applyBorder="1"/>
    <xf numFmtId="0" fontId="9" fillId="0" borderId="6" xfId="0" applyFont="1" applyBorder="1"/>
    <xf numFmtId="166" fontId="2" fillId="0" borderId="18" xfId="1" applyNumberFormat="1" applyFont="1" applyFill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2" fillId="3" borderId="18" xfId="1" applyNumberFormat="1" applyFont="1" applyFill="1" applyBorder="1"/>
    <xf numFmtId="166" fontId="2" fillId="3" borderId="8" xfId="1" applyNumberFormat="1" applyFont="1" applyFill="1" applyBorder="1"/>
    <xf numFmtId="166" fontId="1" fillId="2" borderId="18" xfId="1" applyNumberFormat="1" applyFont="1" applyFill="1" applyBorder="1"/>
    <xf numFmtId="166" fontId="1" fillId="4" borderId="8" xfId="1" applyNumberFormat="1" applyFont="1" applyFill="1" applyBorder="1"/>
    <xf numFmtId="43" fontId="2" fillId="0" borderId="19" xfId="1" applyFont="1" applyFill="1" applyBorder="1"/>
    <xf numFmtId="166" fontId="1" fillId="0" borderId="18" xfId="1" applyNumberFormat="1" applyFont="1" applyFill="1" applyBorder="1"/>
    <xf numFmtId="166" fontId="1" fillId="0" borderId="8" xfId="1" applyNumberFormat="1" applyFont="1" applyFill="1" applyBorder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8"/>
  <sheetViews>
    <sheetView tabSelected="1" topLeftCell="A12" workbookViewId="0">
      <selection activeCell="B23" sqref="B23"/>
    </sheetView>
  </sheetViews>
  <sheetFormatPr defaultRowHeight="12.5"/>
  <cols>
    <col min="1" max="2" width="14.453125" customWidth="1"/>
    <col min="3" max="3" width="22" customWidth="1"/>
    <col min="4" max="6" width="14.453125" customWidth="1"/>
    <col min="7" max="7" width="14.453125" style="26" customWidth="1"/>
    <col min="8" max="8" width="14.453125" customWidth="1"/>
    <col min="9" max="10" width="14.453125" style="39" customWidth="1"/>
    <col min="11" max="11" width="14.453125" customWidth="1"/>
    <col min="12" max="12" width="14.453125" hidden="1" customWidth="1"/>
    <col min="13" max="14" width="14.453125" style="23" customWidth="1"/>
    <col min="15" max="15" width="14.453125" style="23" hidden="1" customWidth="1"/>
    <col min="16" max="16" width="14.453125" style="23" customWidth="1"/>
    <col min="17" max="17" width="15.453125" style="23" customWidth="1"/>
    <col min="18" max="19" width="14.453125" style="23" customWidth="1"/>
    <col min="20" max="20" width="15.6328125" style="23" customWidth="1"/>
    <col min="21" max="21" width="15.6328125" customWidth="1"/>
    <col min="22" max="22" width="14.453125" customWidth="1"/>
    <col min="23" max="32" width="13" style="23" customWidth="1"/>
  </cols>
  <sheetData>
    <row r="1" spans="1:32" ht="22.5">
      <c r="A1" s="1" t="s">
        <v>67</v>
      </c>
      <c r="B1" s="1"/>
      <c r="C1" s="1"/>
      <c r="D1" s="1"/>
      <c r="E1" s="1"/>
      <c r="F1" s="1"/>
      <c r="G1" s="24"/>
      <c r="H1" s="1"/>
      <c r="I1" s="37"/>
      <c r="J1" s="3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thickBot="1">
      <c r="A2" s="2"/>
      <c r="B2" s="2"/>
      <c r="C2" s="2"/>
      <c r="D2" s="2"/>
      <c r="E2" s="2"/>
      <c r="F2" s="2"/>
      <c r="G2" s="25"/>
      <c r="H2" s="2"/>
      <c r="I2" s="38"/>
      <c r="J2" s="38"/>
      <c r="K2" s="2"/>
      <c r="L2" s="2"/>
      <c r="M2" s="27"/>
      <c r="N2" s="27"/>
      <c r="O2" s="27"/>
      <c r="P2" s="27"/>
      <c r="Q2" s="2"/>
      <c r="R2" s="2"/>
      <c r="S2" s="2"/>
      <c r="T2" s="2" t="s">
        <v>83</v>
      </c>
      <c r="U2" s="2" t="s">
        <v>246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6" thickBot="1">
      <c r="A3" s="32"/>
      <c r="B3" s="58">
        <v>2025</v>
      </c>
      <c r="C3" s="58" t="s">
        <v>247</v>
      </c>
      <c r="D3" s="58">
        <v>2024</v>
      </c>
      <c r="E3" s="58">
        <v>2023</v>
      </c>
      <c r="F3" s="58">
        <v>2022</v>
      </c>
      <c r="G3" s="58">
        <v>2021</v>
      </c>
      <c r="H3" s="20">
        <v>2020</v>
      </c>
      <c r="I3" s="20">
        <v>2019</v>
      </c>
      <c r="J3" s="20">
        <v>2018</v>
      </c>
      <c r="K3" s="20">
        <v>2017</v>
      </c>
      <c r="L3" s="20">
        <v>2017</v>
      </c>
      <c r="M3" s="20">
        <v>2016</v>
      </c>
      <c r="N3" s="58">
        <v>2015</v>
      </c>
      <c r="O3" s="20">
        <v>2015</v>
      </c>
      <c r="P3" s="20">
        <v>2014</v>
      </c>
      <c r="Q3" s="17">
        <v>2013</v>
      </c>
      <c r="R3" s="4">
        <v>2012</v>
      </c>
      <c r="S3" s="4">
        <v>2011</v>
      </c>
      <c r="T3" s="4">
        <v>2010</v>
      </c>
      <c r="U3" s="4">
        <v>2009</v>
      </c>
      <c r="V3" s="4">
        <v>2008</v>
      </c>
      <c r="W3" s="4">
        <v>2007</v>
      </c>
      <c r="X3" s="4">
        <v>2006</v>
      </c>
      <c r="Y3" s="4">
        <v>2005</v>
      </c>
      <c r="Z3" s="4">
        <v>2004</v>
      </c>
      <c r="AA3" s="4">
        <v>2003</v>
      </c>
      <c r="AB3" s="4">
        <v>2002</v>
      </c>
      <c r="AC3" s="4">
        <v>2001</v>
      </c>
      <c r="AD3" s="4">
        <v>2000</v>
      </c>
      <c r="AE3" s="4">
        <v>1999</v>
      </c>
      <c r="AF3" s="4">
        <v>1998</v>
      </c>
    </row>
    <row r="4" spans="1:32" ht="16" thickBot="1">
      <c r="A4" s="32"/>
      <c r="B4" s="20"/>
      <c r="C4" s="20"/>
      <c r="D4" s="20"/>
      <c r="E4" s="20"/>
      <c r="F4" s="20"/>
      <c r="G4" s="58"/>
      <c r="H4" s="28"/>
      <c r="I4" s="28"/>
      <c r="J4" s="28"/>
      <c r="K4" s="28"/>
      <c r="L4" s="28"/>
      <c r="M4" s="28"/>
      <c r="N4" s="59"/>
      <c r="O4" s="28"/>
      <c r="P4" s="28"/>
      <c r="Q4" s="17"/>
      <c r="R4" s="4"/>
      <c r="S4" s="4"/>
      <c r="T4" s="4"/>
      <c r="U4" s="15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5">
      <c r="A5" s="66" t="s">
        <v>0</v>
      </c>
      <c r="B5" s="65">
        <f>54365267</f>
        <v>54365267</v>
      </c>
      <c r="C5" s="80">
        <f>(1-(B5/D5))*100</f>
        <v>7.8037388067055735</v>
      </c>
      <c r="D5" s="65">
        <f>58966889</f>
        <v>58966889</v>
      </c>
      <c r="E5" s="65">
        <f>54919185</f>
        <v>54919185</v>
      </c>
      <c r="F5" s="65">
        <f>48683030</f>
        <v>48683030</v>
      </c>
      <c r="G5" s="65">
        <f>48896126</f>
        <v>48896126</v>
      </c>
      <c r="H5" s="41">
        <v>53635654</v>
      </c>
      <c r="I5" s="22">
        <v>48386467</v>
      </c>
      <c r="J5" s="22">
        <v>40834416</v>
      </c>
      <c r="K5" s="22">
        <v>32990697</v>
      </c>
      <c r="L5" s="21">
        <f>K5/1000000</f>
        <v>32.990696999999997</v>
      </c>
      <c r="M5" s="22">
        <v>50307828</v>
      </c>
      <c r="N5" s="60">
        <v>41652603</v>
      </c>
      <c r="O5" s="21">
        <f>N5/1000000</f>
        <v>41.652602999999999</v>
      </c>
      <c r="P5" s="41">
        <v>44969640</v>
      </c>
      <c r="Q5" s="42">
        <v>45389817</v>
      </c>
      <c r="R5" s="43">
        <v>36205286</v>
      </c>
      <c r="S5" s="43">
        <v>35999139</v>
      </c>
      <c r="T5" s="43">
        <v>37713404</v>
      </c>
      <c r="U5" s="10">
        <v>25483959</v>
      </c>
      <c r="V5" s="9">
        <v>29744705</v>
      </c>
      <c r="W5" s="68" t="s">
        <v>223</v>
      </c>
      <c r="X5" s="68" t="s">
        <v>200</v>
      </c>
      <c r="Y5" s="68" t="s">
        <v>177</v>
      </c>
      <c r="Z5" s="68" t="s">
        <v>154</v>
      </c>
      <c r="AA5" s="68" t="s">
        <v>131</v>
      </c>
      <c r="AB5" s="69" t="s">
        <v>108</v>
      </c>
      <c r="AC5" s="69" t="s">
        <v>84</v>
      </c>
      <c r="AD5" s="69" t="s">
        <v>1</v>
      </c>
      <c r="AE5" s="69" t="s">
        <v>2</v>
      </c>
      <c r="AF5" s="69" t="s">
        <v>3</v>
      </c>
    </row>
    <row r="6" spans="1:32" ht="15.5">
      <c r="A6" s="66"/>
      <c r="B6" s="61"/>
      <c r="C6" s="61"/>
      <c r="D6" s="61"/>
      <c r="E6" s="61"/>
      <c r="F6" s="61"/>
      <c r="G6" s="36"/>
      <c r="H6" s="36"/>
      <c r="I6" s="36"/>
      <c r="J6" s="36"/>
      <c r="K6" s="36"/>
      <c r="L6" s="36"/>
      <c r="M6" s="21" t="s">
        <v>83</v>
      </c>
      <c r="N6" s="61"/>
      <c r="O6" s="21" t="s">
        <v>83</v>
      </c>
      <c r="P6" s="36"/>
      <c r="Q6" s="18"/>
      <c r="R6" s="43"/>
      <c r="S6" s="43"/>
      <c r="T6" s="43"/>
      <c r="U6" s="10"/>
      <c r="V6" s="10"/>
      <c r="W6" s="70"/>
      <c r="X6" s="70"/>
      <c r="Y6" s="70"/>
      <c r="Z6" s="70"/>
      <c r="AA6" s="70"/>
      <c r="AB6" s="12"/>
      <c r="AC6" s="12"/>
      <c r="AD6" s="12"/>
      <c r="AE6" s="12"/>
      <c r="AF6" s="12"/>
    </row>
    <row r="7" spans="1:32" ht="16" thickBot="1">
      <c r="A7" s="33" t="s">
        <v>4</v>
      </c>
      <c r="B7" s="67">
        <v>44617082</v>
      </c>
      <c r="C7" s="67"/>
      <c r="D7" s="67">
        <f>55447323</f>
        <v>55447323</v>
      </c>
      <c r="E7" s="67">
        <f>32730272</f>
        <v>32730272</v>
      </c>
      <c r="F7" s="67">
        <f>40825951</f>
        <v>40825951</v>
      </c>
      <c r="G7" s="41">
        <v>43398652</v>
      </c>
      <c r="H7" s="41">
        <v>49201178</v>
      </c>
      <c r="I7" s="22">
        <v>31445080</v>
      </c>
      <c r="J7" s="22">
        <v>27939125</v>
      </c>
      <c r="K7" s="22">
        <v>22604948</v>
      </c>
      <c r="L7" s="21">
        <f t="shared" ref="L7:L8" si="0">K7/1000000</f>
        <v>22.604948</v>
      </c>
      <c r="M7" s="22">
        <v>43968852</v>
      </c>
      <c r="N7" s="60">
        <v>24276302</v>
      </c>
      <c r="O7" s="21">
        <f t="shared" ref="O7:O38" si="1">N7/1000000</f>
        <v>24.276302000000001</v>
      </c>
      <c r="P7" s="22">
        <v>33774381</v>
      </c>
      <c r="Q7" s="42">
        <v>38503232</v>
      </c>
      <c r="R7" s="43">
        <v>18411613</v>
      </c>
      <c r="S7" s="43">
        <v>26710635</v>
      </c>
      <c r="T7" s="43">
        <v>34833802</v>
      </c>
      <c r="U7" s="10">
        <v>21538820</v>
      </c>
      <c r="V7" s="10">
        <v>24094407</v>
      </c>
      <c r="W7" s="68" t="s">
        <v>224</v>
      </c>
      <c r="X7" s="68" t="s">
        <v>201</v>
      </c>
      <c r="Y7" s="68" t="s">
        <v>178</v>
      </c>
      <c r="Z7" s="68" t="s">
        <v>155</v>
      </c>
      <c r="AA7" s="68" t="s">
        <v>132</v>
      </c>
      <c r="AB7" s="69" t="s">
        <v>109</v>
      </c>
      <c r="AC7" s="69" t="s">
        <v>85</v>
      </c>
      <c r="AD7" s="69" t="s">
        <v>5</v>
      </c>
      <c r="AE7" s="69" t="s">
        <v>6</v>
      </c>
      <c r="AF7" s="69" t="s">
        <v>7</v>
      </c>
    </row>
    <row r="8" spans="1:32" ht="15.5">
      <c r="A8" s="33" t="s">
        <v>8</v>
      </c>
      <c r="B8" s="41">
        <f t="shared" ref="B8" si="2">SUM(B5:B7)</f>
        <v>98982349</v>
      </c>
      <c r="C8" s="80">
        <f>(1-(B8/D8))*100</f>
        <v>13.487715145038104</v>
      </c>
      <c r="D8" s="41">
        <f t="shared" ref="D8:E8" si="3">SUM(D5:D7)</f>
        <v>114414212</v>
      </c>
      <c r="E8" s="41">
        <f t="shared" si="3"/>
        <v>87649457</v>
      </c>
      <c r="F8" s="41">
        <f t="shared" ref="F8:K8" si="4">SUM(F5:F7)</f>
        <v>89508981</v>
      </c>
      <c r="G8" s="41">
        <f t="shared" si="4"/>
        <v>92294778</v>
      </c>
      <c r="H8" s="41">
        <f t="shared" si="4"/>
        <v>102836832</v>
      </c>
      <c r="I8" s="22">
        <f t="shared" si="4"/>
        <v>79831547</v>
      </c>
      <c r="J8" s="22">
        <f t="shared" si="4"/>
        <v>68773541</v>
      </c>
      <c r="K8" s="22">
        <f t="shared" si="4"/>
        <v>55595645</v>
      </c>
      <c r="L8" s="21">
        <f t="shared" si="0"/>
        <v>55.595644999999998</v>
      </c>
      <c r="M8" s="22">
        <f>SUM(M5:M7)</f>
        <v>94276680</v>
      </c>
      <c r="N8" s="60">
        <f>SUM(N5:N7)</f>
        <v>65928905</v>
      </c>
      <c r="O8" s="21">
        <f t="shared" si="1"/>
        <v>65.928905</v>
      </c>
      <c r="P8" s="22">
        <f>SUM(P5:P7)</f>
        <v>78744021</v>
      </c>
      <c r="Q8" s="42">
        <f>SUM(Q5:Q7)</f>
        <v>83893049</v>
      </c>
      <c r="R8" s="43">
        <f>SUM(R5:R7)</f>
        <v>54616899</v>
      </c>
      <c r="S8" s="43">
        <v>62709774</v>
      </c>
      <c r="T8" s="43">
        <f>SUM(T5:T7)</f>
        <v>72547206</v>
      </c>
      <c r="U8" s="10">
        <f>SUM(U5:U7)</f>
        <v>47022779</v>
      </c>
      <c r="V8" s="10">
        <v>53839112</v>
      </c>
      <c r="W8" s="68" t="s">
        <v>225</v>
      </c>
      <c r="X8" s="68" t="s">
        <v>202</v>
      </c>
      <c r="Y8" s="68" t="s">
        <v>179</v>
      </c>
      <c r="Z8" s="68" t="s">
        <v>156</v>
      </c>
      <c r="AA8" s="68" t="s">
        <v>133</v>
      </c>
      <c r="AB8" s="69" t="s">
        <v>110</v>
      </c>
      <c r="AC8" s="69" t="s">
        <v>86</v>
      </c>
      <c r="AD8" s="69" t="s">
        <v>9</v>
      </c>
      <c r="AE8" s="69" t="s">
        <v>10</v>
      </c>
      <c r="AF8" s="69" t="s">
        <v>11</v>
      </c>
    </row>
    <row r="9" spans="1:32" ht="15.5">
      <c r="A9" s="33"/>
      <c r="B9" s="36"/>
      <c r="C9" s="36"/>
      <c r="D9" s="36"/>
      <c r="E9" s="36"/>
      <c r="F9" s="36"/>
      <c r="G9" s="61"/>
      <c r="H9" s="36"/>
      <c r="I9" s="36"/>
      <c r="J9" s="36"/>
      <c r="K9" s="36"/>
      <c r="L9" s="36"/>
      <c r="M9" s="21" t="s">
        <v>83</v>
      </c>
      <c r="N9" s="61"/>
      <c r="O9" s="21" t="s">
        <v>83</v>
      </c>
      <c r="P9" s="36"/>
      <c r="Q9" s="18"/>
      <c r="R9" s="44"/>
      <c r="S9" s="44"/>
      <c r="T9" s="44" t="s">
        <v>83</v>
      </c>
      <c r="U9" s="11"/>
      <c r="V9" s="11"/>
      <c r="W9" s="71"/>
      <c r="X9" s="71"/>
      <c r="Y9" s="71"/>
      <c r="Z9" s="71"/>
      <c r="AA9" s="71"/>
      <c r="AB9" s="72"/>
      <c r="AC9" s="72"/>
      <c r="AD9" s="72"/>
      <c r="AE9" s="72"/>
      <c r="AF9" s="72"/>
    </row>
    <row r="10" spans="1:32" ht="16" thickBot="1">
      <c r="A10" s="33" t="s">
        <v>12</v>
      </c>
      <c r="B10" s="67">
        <v>37932583</v>
      </c>
      <c r="C10" s="67"/>
      <c r="D10" s="67">
        <f>54347399</f>
        <v>54347399</v>
      </c>
      <c r="E10" s="67">
        <f>30488793</f>
        <v>30488793</v>
      </c>
      <c r="F10" s="67">
        <f>46321066</f>
        <v>46321066</v>
      </c>
      <c r="G10" s="41">
        <v>48692709</v>
      </c>
      <c r="H10" s="41">
        <v>55732727</v>
      </c>
      <c r="I10" s="22">
        <v>26461703</v>
      </c>
      <c r="J10" s="22">
        <v>30986826</v>
      </c>
      <c r="K10" s="22">
        <v>34498476</v>
      </c>
      <c r="L10" s="21">
        <f t="shared" ref="L10:L11" si="5">K10/1000000</f>
        <v>34.498475999999997</v>
      </c>
      <c r="M10" s="22">
        <v>45329834</v>
      </c>
      <c r="N10" s="60">
        <v>15687858</v>
      </c>
      <c r="O10" s="21">
        <f t="shared" si="1"/>
        <v>15.687858</v>
      </c>
      <c r="P10" s="22">
        <v>33336338</v>
      </c>
      <c r="Q10" s="42">
        <v>33367736</v>
      </c>
      <c r="R10" s="43">
        <v>17858709</v>
      </c>
      <c r="S10" s="43">
        <v>22459370</v>
      </c>
      <c r="T10" s="43">
        <v>39174800</v>
      </c>
      <c r="U10" s="10">
        <v>18778934</v>
      </c>
      <c r="V10" s="10">
        <v>16916398</v>
      </c>
      <c r="W10" s="68" t="s">
        <v>227</v>
      </c>
      <c r="X10" s="68" t="s">
        <v>204</v>
      </c>
      <c r="Y10" s="68" t="s">
        <v>180</v>
      </c>
      <c r="Z10" s="68" t="s">
        <v>157</v>
      </c>
      <c r="AA10" s="68" t="s">
        <v>134</v>
      </c>
      <c r="AB10" s="69" t="s">
        <v>111</v>
      </c>
      <c r="AC10" s="69" t="s">
        <v>93</v>
      </c>
      <c r="AD10" s="69" t="s">
        <v>13</v>
      </c>
      <c r="AE10" s="69" t="s">
        <v>14</v>
      </c>
      <c r="AF10" s="69" t="s">
        <v>15</v>
      </c>
    </row>
    <row r="11" spans="1:32" ht="15.5">
      <c r="A11" s="33" t="s">
        <v>8</v>
      </c>
      <c r="B11" s="41">
        <f t="shared" ref="B11" si="6">SUM(B8:B10)</f>
        <v>136914932</v>
      </c>
      <c r="C11" s="80">
        <f>(1-(B11/D11))*100</f>
        <v>18.8708076506807</v>
      </c>
      <c r="D11" s="41">
        <f t="shared" ref="D11" si="7">SUM(D8:D10)</f>
        <v>168761611</v>
      </c>
      <c r="E11" s="41">
        <f t="shared" ref="E11" si="8">SUM(E8:E10)</f>
        <v>118138250</v>
      </c>
      <c r="F11" s="41">
        <f t="shared" ref="F11" si="9">SUM(F8:F10)</f>
        <v>135830047</v>
      </c>
      <c r="G11" s="41">
        <f>SUM(G8:G10)</f>
        <v>140987487</v>
      </c>
      <c r="H11" s="41">
        <f>SUM(H8:H10)</f>
        <v>158569559</v>
      </c>
      <c r="I11" s="22">
        <f>SUM(I8:I10)</f>
        <v>106293250</v>
      </c>
      <c r="J11" s="22">
        <f>SUM(J8:J10)</f>
        <v>99760367</v>
      </c>
      <c r="K11" s="22">
        <f>SUM(K8:K10)</f>
        <v>90094121</v>
      </c>
      <c r="L11" s="21">
        <f t="shared" si="5"/>
        <v>90.094121000000001</v>
      </c>
      <c r="M11" s="22">
        <f>SUM(M8:M10)</f>
        <v>139606514</v>
      </c>
      <c r="N11" s="60">
        <f>SUM(N8:N10)</f>
        <v>81616763</v>
      </c>
      <c r="O11" s="21">
        <f t="shared" si="1"/>
        <v>81.616763000000006</v>
      </c>
      <c r="P11" s="22">
        <f>SUM(P8:P10)</f>
        <v>112080359</v>
      </c>
      <c r="Q11" s="42">
        <v>117260785</v>
      </c>
      <c r="R11" s="43">
        <f>SUM(R8:R10)</f>
        <v>72475608</v>
      </c>
      <c r="S11" s="43">
        <v>85169144</v>
      </c>
      <c r="T11" s="43">
        <f>SUM(T8:T10)</f>
        <v>111722006</v>
      </c>
      <c r="U11" s="10">
        <v>65801713</v>
      </c>
      <c r="V11" s="10">
        <f>SUM(V5+V7+V10)</f>
        <v>70755510</v>
      </c>
      <c r="W11" s="68" t="s">
        <v>228</v>
      </c>
      <c r="X11" s="68" t="s">
        <v>203</v>
      </c>
      <c r="Y11" s="68" t="s">
        <v>181</v>
      </c>
      <c r="Z11" s="68" t="s">
        <v>158</v>
      </c>
      <c r="AA11" s="68" t="s">
        <v>135</v>
      </c>
      <c r="AB11" s="69" t="s">
        <v>112</v>
      </c>
      <c r="AC11" s="69" t="s">
        <v>94</v>
      </c>
      <c r="AD11" s="69" t="s">
        <v>16</v>
      </c>
      <c r="AE11" s="69" t="s">
        <v>17</v>
      </c>
      <c r="AF11" s="69" t="s">
        <v>18</v>
      </c>
    </row>
    <row r="12" spans="1:32" ht="15.5">
      <c r="A12" s="33"/>
      <c r="B12" s="36"/>
      <c r="C12" s="36"/>
      <c r="D12" s="36"/>
      <c r="E12" s="36"/>
      <c r="F12" s="36"/>
      <c r="G12" s="61"/>
      <c r="H12" s="36"/>
      <c r="I12" s="36"/>
      <c r="J12" s="36"/>
      <c r="K12" s="36"/>
      <c r="L12" s="36"/>
      <c r="M12" s="21" t="s">
        <v>83</v>
      </c>
      <c r="N12" s="61"/>
      <c r="O12" s="21" t="s">
        <v>83</v>
      </c>
      <c r="P12" s="36"/>
      <c r="Q12" s="18"/>
      <c r="R12" s="44"/>
      <c r="S12" s="44"/>
      <c r="T12" s="44"/>
      <c r="U12" s="11"/>
      <c r="V12" s="11"/>
      <c r="W12" s="71"/>
      <c r="X12" s="71"/>
      <c r="Y12" s="71"/>
      <c r="Z12" s="71"/>
      <c r="AA12" s="71"/>
      <c r="AB12" s="72"/>
      <c r="AC12" s="72"/>
      <c r="AD12" s="72"/>
      <c r="AE12" s="72"/>
      <c r="AF12" s="72"/>
    </row>
    <row r="13" spans="1:32" ht="16" thickBot="1">
      <c r="A13" s="33" t="s">
        <v>19</v>
      </c>
      <c r="B13" s="67">
        <v>51781537</v>
      </c>
      <c r="C13" s="81"/>
      <c r="D13" s="67">
        <f>53852778</f>
        <v>53852778</v>
      </c>
      <c r="E13" s="67">
        <f>49491391</f>
        <v>49491391</v>
      </c>
      <c r="F13" s="67">
        <f>41171296</f>
        <v>41171296</v>
      </c>
      <c r="G13" s="41">
        <v>44299460</v>
      </c>
      <c r="H13" s="41">
        <v>49656070</v>
      </c>
      <c r="I13" s="22">
        <v>26131304</v>
      </c>
      <c r="J13" s="22">
        <v>44579879</v>
      </c>
      <c r="K13" s="22">
        <v>31458458</v>
      </c>
      <c r="L13" s="21">
        <f t="shared" ref="L13:L14" si="10">K13/1000000</f>
        <v>31.458458</v>
      </c>
      <c r="M13" s="22">
        <v>37910885</v>
      </c>
      <c r="N13" s="60">
        <v>23837272</v>
      </c>
      <c r="O13" s="21">
        <f t="shared" si="1"/>
        <v>23.837271999999999</v>
      </c>
      <c r="P13" s="22">
        <v>39974557</v>
      </c>
      <c r="Q13" s="42">
        <v>38229911</v>
      </c>
      <c r="R13" s="43">
        <v>18118143</v>
      </c>
      <c r="S13" s="43">
        <v>31482249</v>
      </c>
      <c r="T13" s="43">
        <v>35856510</v>
      </c>
      <c r="U13" s="10">
        <v>18342800</v>
      </c>
      <c r="V13" s="10">
        <v>27414945</v>
      </c>
      <c r="W13" s="68" t="s">
        <v>226</v>
      </c>
      <c r="X13" s="68" t="s">
        <v>205</v>
      </c>
      <c r="Y13" s="68" t="s">
        <v>182</v>
      </c>
      <c r="Z13" s="68" t="s">
        <v>159</v>
      </c>
      <c r="AA13" s="68" t="s">
        <v>136</v>
      </c>
      <c r="AB13" s="69" t="s">
        <v>113</v>
      </c>
      <c r="AC13" s="69" t="s">
        <v>87</v>
      </c>
      <c r="AD13" s="69" t="s">
        <v>20</v>
      </c>
      <c r="AE13" s="69" t="s">
        <v>21</v>
      </c>
      <c r="AF13" s="69" t="s">
        <v>22</v>
      </c>
    </row>
    <row r="14" spans="1:32" ht="15.5">
      <c r="A14" s="33" t="s">
        <v>8</v>
      </c>
      <c r="B14" s="41">
        <f t="shared" ref="B14" si="11">SUM(B11:B13)</f>
        <v>188696469</v>
      </c>
      <c r="C14" s="80">
        <f>(1-(B14/D14))*100</f>
        <v>15.23617595087261</v>
      </c>
      <c r="D14" s="41">
        <f t="shared" ref="D14" si="12">SUM(D11:D13)</f>
        <v>222614389</v>
      </c>
      <c r="E14" s="41">
        <f t="shared" ref="E14" si="13">SUM(E11:E13)</f>
        <v>167629641</v>
      </c>
      <c r="F14" s="41">
        <f t="shared" ref="F14" si="14">SUM(F11:F13)</f>
        <v>177001343</v>
      </c>
      <c r="G14" s="41">
        <f>SUM(G11:G13)</f>
        <v>185286947</v>
      </c>
      <c r="H14" s="41">
        <f>SUM(H11:H13)</f>
        <v>208225629</v>
      </c>
      <c r="I14" s="22">
        <f>SUM(I11:I13)</f>
        <v>132424554</v>
      </c>
      <c r="J14" s="22">
        <f>SUM(J11:J13)</f>
        <v>144340246</v>
      </c>
      <c r="K14" s="22">
        <f>SUM(K11:K13)</f>
        <v>121552579</v>
      </c>
      <c r="L14" s="21">
        <f t="shared" si="10"/>
        <v>121.55257899999999</v>
      </c>
      <c r="M14" s="22">
        <f>SUM(M11:M13)</f>
        <v>177517399</v>
      </c>
      <c r="N14" s="60">
        <f>SUM(N11:N13)</f>
        <v>105454035</v>
      </c>
      <c r="O14" s="21">
        <f t="shared" si="1"/>
        <v>105.454035</v>
      </c>
      <c r="P14" s="22">
        <f>SUM(P11:P13)</f>
        <v>152054916</v>
      </c>
      <c r="Q14" s="42">
        <v>155490696</v>
      </c>
      <c r="R14" s="43">
        <f>SUM(R11:R13)</f>
        <v>90593751</v>
      </c>
      <c r="S14" s="43">
        <v>116651393</v>
      </c>
      <c r="T14" s="43">
        <f>SUM(T11:T13)</f>
        <v>147578516</v>
      </c>
      <c r="U14" s="10">
        <v>84144513</v>
      </c>
      <c r="V14" s="10">
        <v>98170455</v>
      </c>
      <c r="W14" s="68" t="s">
        <v>229</v>
      </c>
      <c r="X14" s="68" t="s">
        <v>206</v>
      </c>
      <c r="Y14" s="68" t="s">
        <v>183</v>
      </c>
      <c r="Z14" s="68" t="s">
        <v>160</v>
      </c>
      <c r="AA14" s="68" t="s">
        <v>137</v>
      </c>
      <c r="AB14" s="69" t="s">
        <v>114</v>
      </c>
      <c r="AC14" s="69" t="s">
        <v>95</v>
      </c>
      <c r="AD14" s="69" t="s">
        <v>23</v>
      </c>
      <c r="AE14" s="69" t="s">
        <v>24</v>
      </c>
      <c r="AF14" s="69" t="s">
        <v>25</v>
      </c>
    </row>
    <row r="15" spans="1:32" ht="15.5">
      <c r="A15" s="33"/>
      <c r="B15" s="36"/>
      <c r="C15" s="36"/>
      <c r="D15" s="36"/>
      <c r="E15" s="36"/>
      <c r="F15" s="36"/>
      <c r="G15" s="61"/>
      <c r="H15" s="36"/>
      <c r="I15" s="36"/>
      <c r="J15" s="36"/>
      <c r="K15" s="36"/>
      <c r="L15" s="36"/>
      <c r="M15" s="21" t="s">
        <v>83</v>
      </c>
      <c r="N15" s="61"/>
      <c r="O15" s="21" t="s">
        <v>83</v>
      </c>
      <c r="P15" s="36"/>
      <c r="Q15" s="18"/>
      <c r="R15" s="44"/>
      <c r="S15" s="44"/>
      <c r="T15" s="44" t="s">
        <v>83</v>
      </c>
      <c r="U15" s="11"/>
      <c r="V15" s="11"/>
      <c r="W15" s="71"/>
      <c r="X15" s="71"/>
      <c r="Y15" s="71"/>
      <c r="Z15" s="71"/>
      <c r="AA15" s="71"/>
      <c r="AB15" s="72"/>
      <c r="AC15" s="72"/>
      <c r="AD15" s="72"/>
      <c r="AE15" s="72"/>
      <c r="AF15" s="72"/>
    </row>
    <row r="16" spans="1:32" ht="16" thickBot="1">
      <c r="A16" s="33" t="s">
        <v>26</v>
      </c>
      <c r="B16" s="67">
        <v>52139544</v>
      </c>
      <c r="C16" s="81"/>
      <c r="D16" s="67">
        <f>54529182</f>
        <v>54529182</v>
      </c>
      <c r="E16" s="67">
        <f>57885909</f>
        <v>57885909</v>
      </c>
      <c r="F16" s="67">
        <f>50093246</f>
        <v>50093246</v>
      </c>
      <c r="G16" s="41">
        <v>45321635</v>
      </c>
      <c r="H16" s="41">
        <v>47003934</v>
      </c>
      <c r="I16" s="41">
        <v>37758641</v>
      </c>
      <c r="J16" s="22">
        <v>43355792</v>
      </c>
      <c r="K16" s="22">
        <v>38822246</v>
      </c>
      <c r="L16" s="21">
        <f t="shared" ref="L16:L17" si="15">K16/1000000</f>
        <v>38.822246</v>
      </c>
      <c r="M16" s="22">
        <v>37202458</v>
      </c>
      <c r="N16" s="60">
        <v>37523078</v>
      </c>
      <c r="O16" s="21">
        <f t="shared" si="1"/>
        <v>37.523077999999998</v>
      </c>
      <c r="P16" s="22">
        <v>41186290</v>
      </c>
      <c r="Q16" s="42">
        <v>39599837</v>
      </c>
      <c r="R16" s="43">
        <v>37383207</v>
      </c>
      <c r="S16" s="43">
        <v>32855844</v>
      </c>
      <c r="T16" s="43">
        <v>35618449</v>
      </c>
      <c r="U16" s="10">
        <v>29802723</v>
      </c>
      <c r="V16" s="10">
        <v>36401819</v>
      </c>
      <c r="W16" s="68" t="s">
        <v>230</v>
      </c>
      <c r="X16" s="68" t="s">
        <v>207</v>
      </c>
      <c r="Y16" s="68" t="s">
        <v>184</v>
      </c>
      <c r="Z16" s="68" t="s">
        <v>162</v>
      </c>
      <c r="AA16" s="68" t="s">
        <v>138</v>
      </c>
      <c r="AB16" s="69" t="s">
        <v>115</v>
      </c>
      <c r="AC16" s="69" t="s">
        <v>88</v>
      </c>
      <c r="AD16" s="69" t="s">
        <v>70</v>
      </c>
      <c r="AE16" s="69" t="s">
        <v>27</v>
      </c>
      <c r="AF16" s="69" t="s">
        <v>28</v>
      </c>
    </row>
    <row r="17" spans="1:32" ht="15.5">
      <c r="A17" s="33" t="s">
        <v>8</v>
      </c>
      <c r="B17" s="41">
        <f t="shared" ref="B17" si="16">SUM(B14:B16)</f>
        <v>240836013</v>
      </c>
      <c r="C17" s="80">
        <f>(1-(B17/D17))*100</f>
        <v>13.100631513476458</v>
      </c>
      <c r="D17" s="41">
        <f t="shared" ref="D17" si="17">SUM(D14:D16)</f>
        <v>277143571</v>
      </c>
      <c r="E17" s="41">
        <f t="shared" ref="E17" si="18">SUM(E14:E16)</f>
        <v>225515550</v>
      </c>
      <c r="F17" s="41">
        <f t="shared" ref="F17" si="19">SUM(F14:F16)</f>
        <v>227094589</v>
      </c>
      <c r="G17" s="41">
        <f>SUM(G14:G16)</f>
        <v>230608582</v>
      </c>
      <c r="H17" s="41">
        <f>SUM(H14:H16)</f>
        <v>255229563</v>
      </c>
      <c r="I17" s="22">
        <f>SUM(I14:I16)</f>
        <v>170183195</v>
      </c>
      <c r="J17" s="22">
        <f>SUM(J14:J16)</f>
        <v>187696038</v>
      </c>
      <c r="K17" s="22">
        <f>SUM(K14:K16)</f>
        <v>160374825</v>
      </c>
      <c r="L17" s="21">
        <f t="shared" si="15"/>
        <v>160.37482499999999</v>
      </c>
      <c r="M17" s="22">
        <f>SUM(M14:M16)</f>
        <v>214719857</v>
      </c>
      <c r="N17" s="60">
        <f>SUM(N14:N16)</f>
        <v>142977113</v>
      </c>
      <c r="O17" s="21">
        <f t="shared" si="1"/>
        <v>142.977113</v>
      </c>
      <c r="P17" s="22">
        <f>SUM(P14:P16)</f>
        <v>193241206</v>
      </c>
      <c r="Q17" s="42">
        <v>195090533</v>
      </c>
      <c r="R17" s="43">
        <f>SUM(R14:R16)</f>
        <v>127976958</v>
      </c>
      <c r="S17" s="43">
        <v>149507237</v>
      </c>
      <c r="T17" s="43">
        <f>SUM(T14:T16)</f>
        <v>183196965</v>
      </c>
      <c r="U17" s="10">
        <v>113947236</v>
      </c>
      <c r="V17" s="10">
        <v>134572274</v>
      </c>
      <c r="W17" s="68" t="s">
        <v>231</v>
      </c>
      <c r="X17" s="68" t="s">
        <v>208</v>
      </c>
      <c r="Y17" s="68" t="s">
        <v>185</v>
      </c>
      <c r="Z17" s="68" t="s">
        <v>161</v>
      </c>
      <c r="AA17" s="68" t="s">
        <v>139</v>
      </c>
      <c r="AB17" s="69" t="s">
        <v>116</v>
      </c>
      <c r="AC17" s="69" t="s">
        <v>96</v>
      </c>
      <c r="AD17" s="69" t="s">
        <v>66</v>
      </c>
      <c r="AE17" s="69" t="s">
        <v>29</v>
      </c>
      <c r="AF17" s="69" t="s">
        <v>30</v>
      </c>
    </row>
    <row r="18" spans="1:32" ht="15.5">
      <c r="A18" s="33"/>
      <c r="B18" s="36"/>
      <c r="C18" s="36"/>
      <c r="D18" s="36"/>
      <c r="E18" s="36"/>
      <c r="F18" s="36"/>
      <c r="G18" s="61"/>
      <c r="H18" s="36"/>
      <c r="I18" s="36"/>
      <c r="J18" s="36"/>
      <c r="K18" s="36"/>
      <c r="L18" s="36"/>
      <c r="M18" s="21" t="s">
        <v>83</v>
      </c>
      <c r="N18" s="61"/>
      <c r="O18" s="21" t="s">
        <v>83</v>
      </c>
      <c r="P18" s="45"/>
      <c r="Q18" s="18"/>
      <c r="R18" s="44"/>
      <c r="S18" s="44"/>
      <c r="T18" s="44"/>
      <c r="U18" s="11" t="s">
        <v>83</v>
      </c>
      <c r="V18" s="11"/>
      <c r="W18" s="71"/>
      <c r="X18" s="71"/>
      <c r="Y18" s="71"/>
      <c r="Z18" s="71"/>
      <c r="AA18" s="71"/>
      <c r="AB18" s="72"/>
      <c r="AC18" s="72"/>
      <c r="AD18" s="72"/>
      <c r="AE18" s="72"/>
      <c r="AF18" s="72"/>
    </row>
    <row r="19" spans="1:32" ht="16" thickBot="1">
      <c r="A19" s="33" t="s">
        <v>31</v>
      </c>
      <c r="B19" s="81">
        <v>42416013</v>
      </c>
      <c r="C19" s="81"/>
      <c r="D19" s="67">
        <v>46160633</v>
      </c>
      <c r="E19" s="67">
        <f>48127888</f>
        <v>48127888</v>
      </c>
      <c r="F19" s="67">
        <v>43268314</v>
      </c>
      <c r="G19" s="41">
        <v>43468498</v>
      </c>
      <c r="H19" s="41">
        <v>46377666</v>
      </c>
      <c r="I19" s="22">
        <v>42425017</v>
      </c>
      <c r="J19" s="22">
        <v>43299062</v>
      </c>
      <c r="K19" s="22">
        <v>40537919</v>
      </c>
      <c r="L19" s="21">
        <f t="shared" ref="L19:L20" si="20">K19/1000000</f>
        <v>40.537919000000002</v>
      </c>
      <c r="M19" s="22">
        <v>35871681</v>
      </c>
      <c r="N19" s="60">
        <v>32285546</v>
      </c>
      <c r="O19" s="21">
        <f t="shared" si="1"/>
        <v>32.285545999999997</v>
      </c>
      <c r="P19" s="46">
        <v>31944583</v>
      </c>
      <c r="Q19" s="42">
        <v>30530170</v>
      </c>
      <c r="R19" s="43">
        <v>30197158</v>
      </c>
      <c r="S19" s="43">
        <v>28954625</v>
      </c>
      <c r="T19" s="43">
        <v>29815292</v>
      </c>
      <c r="U19" s="10">
        <v>25336697</v>
      </c>
      <c r="V19" s="10">
        <v>22816841</v>
      </c>
      <c r="W19" s="68" t="s">
        <v>232</v>
      </c>
      <c r="X19" s="68" t="s">
        <v>209</v>
      </c>
      <c r="Y19" s="68" t="s">
        <v>186</v>
      </c>
      <c r="Z19" s="68" t="s">
        <v>163</v>
      </c>
      <c r="AA19" s="68" t="s">
        <v>140</v>
      </c>
      <c r="AB19" s="69" t="s">
        <v>117</v>
      </c>
      <c r="AC19" s="69" t="s">
        <v>89</v>
      </c>
      <c r="AD19" s="69" t="s">
        <v>68</v>
      </c>
      <c r="AE19" s="69" t="s">
        <v>32</v>
      </c>
      <c r="AF19" s="69" t="s">
        <v>33</v>
      </c>
    </row>
    <row r="20" spans="1:32" ht="15.5">
      <c r="A20" s="33" t="s">
        <v>8</v>
      </c>
      <c r="B20" s="82">
        <f t="shared" ref="B20" si="21">SUM(B17:B19)</f>
        <v>283252026</v>
      </c>
      <c r="C20" s="80">
        <f>(1-(B20/D20))*100</f>
        <v>12.388387625172982</v>
      </c>
      <c r="D20" s="41">
        <f t="shared" ref="D20" si="22">SUM(D17:D19)</f>
        <v>323304204</v>
      </c>
      <c r="E20" s="41">
        <f t="shared" ref="E20" si="23">SUM(E17:E19)</f>
        <v>273643438</v>
      </c>
      <c r="F20" s="41">
        <f t="shared" ref="F20" si="24">SUM(F17:F19)</f>
        <v>270362903</v>
      </c>
      <c r="G20" s="41">
        <f>SUM(G17:G19)</f>
        <v>274077080</v>
      </c>
      <c r="H20" s="41">
        <f>SUM(H17:H19)</f>
        <v>301607229</v>
      </c>
      <c r="I20" s="41">
        <f>SUM(I17:I19)</f>
        <v>212608212</v>
      </c>
      <c r="J20" s="22">
        <f>SUM(J17:J19)</f>
        <v>230995100</v>
      </c>
      <c r="K20" s="22">
        <f>SUM(K17:K19)</f>
        <v>200912744</v>
      </c>
      <c r="L20" s="21">
        <f t="shared" si="20"/>
        <v>200.912744</v>
      </c>
      <c r="M20" s="22">
        <f>SUM(M17:M19)</f>
        <v>250591538</v>
      </c>
      <c r="N20" s="60">
        <f>SUM(N17:N19)</f>
        <v>175262659</v>
      </c>
      <c r="O20" s="21">
        <f t="shared" si="1"/>
        <v>175.26265900000001</v>
      </c>
      <c r="P20" s="22">
        <f>SUM(P17:P19)</f>
        <v>225185789</v>
      </c>
      <c r="Q20" s="42">
        <v>225620703</v>
      </c>
      <c r="R20" s="43">
        <f>SUM(R17:R19)</f>
        <v>158174116</v>
      </c>
      <c r="S20" s="43">
        <v>178461862</v>
      </c>
      <c r="T20" s="43">
        <f>SUM(T17:T19)</f>
        <v>213012257</v>
      </c>
      <c r="U20" s="10">
        <v>139283933</v>
      </c>
      <c r="V20" s="10">
        <v>157389115</v>
      </c>
      <c r="W20" s="68" t="s">
        <v>233</v>
      </c>
      <c r="X20" s="68" t="s">
        <v>210</v>
      </c>
      <c r="Y20" s="68" t="s">
        <v>187</v>
      </c>
      <c r="Z20" s="68" t="s">
        <v>164</v>
      </c>
      <c r="AA20" s="68" t="s">
        <v>141</v>
      </c>
      <c r="AB20" s="69" t="s">
        <v>118</v>
      </c>
      <c r="AC20" s="69" t="s">
        <v>97</v>
      </c>
      <c r="AD20" s="69" t="s">
        <v>69</v>
      </c>
      <c r="AE20" s="69" t="s">
        <v>34</v>
      </c>
      <c r="AF20" s="69" t="s">
        <v>35</v>
      </c>
    </row>
    <row r="21" spans="1:32" ht="15.5">
      <c r="A21" s="33"/>
      <c r="B21" s="36"/>
      <c r="C21" s="36"/>
      <c r="D21" s="36"/>
      <c r="E21" s="36"/>
      <c r="F21" s="36"/>
      <c r="G21" s="61"/>
      <c r="H21" s="36"/>
      <c r="I21" s="36"/>
      <c r="J21" s="36"/>
      <c r="K21" s="36"/>
      <c r="L21" s="36"/>
      <c r="M21" s="21" t="s">
        <v>83</v>
      </c>
      <c r="N21" s="61"/>
      <c r="O21" s="21" t="s">
        <v>83</v>
      </c>
      <c r="P21" s="45"/>
      <c r="Q21" s="18"/>
      <c r="R21" s="44"/>
      <c r="S21" s="44"/>
      <c r="T21" s="44"/>
      <c r="U21" s="11"/>
      <c r="V21" s="11"/>
      <c r="W21" s="71"/>
      <c r="X21" s="71"/>
      <c r="Y21" s="71"/>
      <c r="Z21" s="71"/>
      <c r="AA21" s="71"/>
      <c r="AB21" s="72"/>
      <c r="AC21" s="72"/>
      <c r="AD21" s="72"/>
      <c r="AE21" s="72"/>
      <c r="AF21" s="72"/>
    </row>
    <row r="22" spans="1:32" ht="16" thickBot="1">
      <c r="A22" s="33" t="s">
        <v>36</v>
      </c>
      <c r="B22" s="78">
        <v>39040435</v>
      </c>
      <c r="C22" s="78"/>
      <c r="D22" s="67">
        <v>40826144</v>
      </c>
      <c r="E22" s="67">
        <f>44696615</f>
        <v>44696615</v>
      </c>
      <c r="F22" s="67">
        <v>33854274</v>
      </c>
      <c r="G22" s="41">
        <v>34732369</v>
      </c>
      <c r="H22" s="41">
        <v>36554224</v>
      </c>
      <c r="I22" s="22">
        <v>31458492</v>
      </c>
      <c r="J22" s="22">
        <v>35278160</v>
      </c>
      <c r="K22" s="22">
        <v>31565428</v>
      </c>
      <c r="L22" s="21">
        <f t="shared" ref="L22:L23" si="25">K22/1000000</f>
        <v>31.565428000000001</v>
      </c>
      <c r="M22" s="22">
        <v>29504587</v>
      </c>
      <c r="N22" s="60">
        <v>30942321</v>
      </c>
      <c r="O22" s="21">
        <f t="shared" si="1"/>
        <v>30.942321</v>
      </c>
      <c r="P22" s="47">
        <v>30789645</v>
      </c>
      <c r="Q22" s="42">
        <v>26229331</v>
      </c>
      <c r="R22" s="43">
        <v>24305781</v>
      </c>
      <c r="S22" s="43">
        <v>26343449</v>
      </c>
      <c r="T22" s="43">
        <v>24401179</v>
      </c>
      <c r="U22" s="10">
        <v>21510306</v>
      </c>
      <c r="V22" s="10">
        <v>24239153</v>
      </c>
      <c r="W22" s="68" t="s">
        <v>234</v>
      </c>
      <c r="X22" s="68" t="s">
        <v>211</v>
      </c>
      <c r="Y22" s="68" t="s">
        <v>188</v>
      </c>
      <c r="Z22" s="68" t="s">
        <v>165</v>
      </c>
      <c r="AA22" s="68" t="s">
        <v>142</v>
      </c>
      <c r="AB22" s="69" t="s">
        <v>119</v>
      </c>
      <c r="AC22" s="69" t="s">
        <v>90</v>
      </c>
      <c r="AD22" s="69" t="s">
        <v>74</v>
      </c>
      <c r="AE22" s="69" t="s">
        <v>37</v>
      </c>
      <c r="AF22" s="69" t="s">
        <v>38</v>
      </c>
    </row>
    <row r="23" spans="1:32" ht="15.5">
      <c r="A23" s="33" t="s">
        <v>8</v>
      </c>
      <c r="B23" s="79">
        <f t="shared" ref="B23" si="26">SUM(B20:B22)</f>
        <v>322292461</v>
      </c>
      <c r="C23" s="80">
        <f>(1-(B23/D23))*100</f>
        <v>11.489810511482002</v>
      </c>
      <c r="D23" s="41">
        <f t="shared" ref="D23" si="27">SUM(D20:D22)</f>
        <v>364130348</v>
      </c>
      <c r="E23" s="41">
        <f t="shared" ref="E23" si="28">SUM(E20:E22)</f>
        <v>318340053</v>
      </c>
      <c r="F23" s="41">
        <f t="shared" ref="F23" si="29">SUM(F20:F22)</f>
        <v>304217177</v>
      </c>
      <c r="G23" s="41">
        <f>SUM(G20:G22)</f>
        <v>308809449</v>
      </c>
      <c r="H23" s="41">
        <f>SUM(H20:H22)</f>
        <v>338161453</v>
      </c>
      <c r="I23" s="41">
        <f>SUM(I20:I22)</f>
        <v>244066704</v>
      </c>
      <c r="J23" s="22">
        <f>SUM(J20:J22)</f>
        <v>266273260</v>
      </c>
      <c r="K23" s="22">
        <f>SUM(K20:K22)</f>
        <v>232478172</v>
      </c>
      <c r="L23" s="21">
        <f t="shared" si="25"/>
        <v>232.478172</v>
      </c>
      <c r="M23" s="22">
        <f>SUM(M20:M22)</f>
        <v>280096125</v>
      </c>
      <c r="N23" s="60">
        <f>SUM(N20:N22)</f>
        <v>206204980</v>
      </c>
      <c r="O23" s="21">
        <f t="shared" si="1"/>
        <v>206.20498000000001</v>
      </c>
      <c r="P23" s="22">
        <f>SUM(P20:P22)</f>
        <v>255975434</v>
      </c>
      <c r="Q23" s="42">
        <v>251850034</v>
      </c>
      <c r="R23" s="43">
        <f>SUM(R20:R22)</f>
        <v>182479897</v>
      </c>
      <c r="S23" s="43">
        <v>204805311</v>
      </c>
      <c r="T23" s="43">
        <f>SUM(T20:T22)</f>
        <v>237413436</v>
      </c>
      <c r="U23" s="10">
        <v>160794239</v>
      </c>
      <c r="V23" s="10">
        <v>181628268</v>
      </c>
      <c r="W23" s="68" t="s">
        <v>235</v>
      </c>
      <c r="X23" s="68" t="s">
        <v>212</v>
      </c>
      <c r="Y23" s="68" t="s">
        <v>189</v>
      </c>
      <c r="Z23" s="68" t="s">
        <v>168</v>
      </c>
      <c r="AA23" s="68" t="s">
        <v>143</v>
      </c>
      <c r="AB23" s="69" t="s">
        <v>120</v>
      </c>
      <c r="AC23" s="69" t="s">
        <v>98</v>
      </c>
      <c r="AD23" s="69" t="s">
        <v>71</v>
      </c>
      <c r="AE23" s="69" t="s">
        <v>39</v>
      </c>
      <c r="AF23" s="69" t="s">
        <v>40</v>
      </c>
    </row>
    <row r="24" spans="1:32" ht="15.5">
      <c r="A24" s="33"/>
      <c r="B24" s="36"/>
      <c r="C24" s="36"/>
      <c r="D24" s="36"/>
      <c r="E24" s="36"/>
      <c r="F24" s="36"/>
      <c r="G24" s="61"/>
      <c r="H24" s="36"/>
      <c r="I24" s="36"/>
      <c r="J24" s="36"/>
      <c r="K24" s="36"/>
      <c r="L24" s="36"/>
      <c r="M24" s="21" t="s">
        <v>83</v>
      </c>
      <c r="N24" s="61"/>
      <c r="O24" s="21" t="s">
        <v>83</v>
      </c>
      <c r="P24" s="45"/>
      <c r="Q24" s="18"/>
      <c r="R24" s="44"/>
      <c r="S24" s="44" t="s">
        <v>83</v>
      </c>
      <c r="T24" s="44"/>
      <c r="U24" s="11"/>
      <c r="V24" s="11"/>
      <c r="W24" s="71"/>
      <c r="X24" s="71"/>
      <c r="Y24" s="71"/>
      <c r="Z24" s="71"/>
      <c r="AA24" s="71"/>
      <c r="AB24" s="72"/>
      <c r="AC24" s="72"/>
      <c r="AD24" s="72"/>
      <c r="AE24" s="72"/>
      <c r="AF24" s="72"/>
    </row>
    <row r="25" spans="1:32" ht="15.5">
      <c r="A25" s="33" t="s">
        <v>41</v>
      </c>
      <c r="B25" s="36"/>
      <c r="C25" s="36"/>
      <c r="D25" s="67">
        <v>38628822</v>
      </c>
      <c r="E25" s="67">
        <f>45577653</f>
        <v>45577653</v>
      </c>
      <c r="F25" s="67">
        <v>35894578</v>
      </c>
      <c r="G25" s="41">
        <v>33635039</v>
      </c>
      <c r="H25" s="41">
        <v>38524781</v>
      </c>
      <c r="I25" s="22">
        <v>37200219</v>
      </c>
      <c r="J25" s="22">
        <v>37432596</v>
      </c>
      <c r="K25" s="22">
        <v>32693182</v>
      </c>
      <c r="L25" s="21">
        <f t="shared" ref="L25:L26" si="30">K25/1000000</f>
        <v>32.693182</v>
      </c>
      <c r="M25" s="22">
        <v>29589188</v>
      </c>
      <c r="N25" s="60">
        <v>28410248</v>
      </c>
      <c r="O25" s="21">
        <f t="shared" si="1"/>
        <v>28.410247999999999</v>
      </c>
      <c r="P25" s="46">
        <v>26755910</v>
      </c>
      <c r="Q25" s="42">
        <v>26338236</v>
      </c>
      <c r="R25" s="43">
        <v>31920344</v>
      </c>
      <c r="S25" s="43">
        <v>24470616</v>
      </c>
      <c r="T25" s="43">
        <v>23177052</v>
      </c>
      <c r="U25" s="10">
        <v>21230696</v>
      </c>
      <c r="V25" s="10">
        <v>24493834</v>
      </c>
      <c r="W25" s="68" t="s">
        <v>236</v>
      </c>
      <c r="X25" s="68" t="s">
        <v>213</v>
      </c>
      <c r="Y25" s="68" t="s">
        <v>190</v>
      </c>
      <c r="Z25" s="68" t="s">
        <v>166</v>
      </c>
      <c r="AA25" s="68" t="s">
        <v>144</v>
      </c>
      <c r="AB25" s="69" t="s">
        <v>121</v>
      </c>
      <c r="AC25" s="69" t="s">
        <v>91</v>
      </c>
      <c r="AD25" s="69" t="s">
        <v>72</v>
      </c>
      <c r="AE25" s="69" t="s">
        <v>42</v>
      </c>
      <c r="AF25" s="69" t="s">
        <v>43</v>
      </c>
    </row>
    <row r="26" spans="1:32" ht="15.5">
      <c r="A26" s="33" t="s">
        <v>8</v>
      </c>
      <c r="B26" s="36"/>
      <c r="C26" s="36"/>
      <c r="D26" s="41">
        <f t="shared" ref="D26" si="31">SUM(D23:D25)</f>
        <v>402759170</v>
      </c>
      <c r="E26" s="41">
        <f t="shared" ref="E26" si="32">SUM(E23:E25)</f>
        <v>363917706</v>
      </c>
      <c r="F26" s="41">
        <f t="shared" ref="F26" si="33">SUM(F23:F25)</f>
        <v>340111755</v>
      </c>
      <c r="G26" s="41">
        <f>SUM(G23:G25)</f>
        <v>342444488</v>
      </c>
      <c r="H26" s="41">
        <f>SUM(H23:H25)</f>
        <v>376686234</v>
      </c>
      <c r="I26" s="41">
        <f>SUM(I23:I25)</f>
        <v>281266923</v>
      </c>
      <c r="J26" s="22">
        <f>SUM(J23:J25)</f>
        <v>303705856</v>
      </c>
      <c r="K26" s="22">
        <f>SUM(K23:K25)</f>
        <v>265171354</v>
      </c>
      <c r="L26" s="21">
        <f t="shared" si="30"/>
        <v>265.17135400000001</v>
      </c>
      <c r="M26" s="22">
        <f>SUM(M23:M25)</f>
        <v>309685313</v>
      </c>
      <c r="N26" s="60">
        <f>SUM(N23:N25)</f>
        <v>234615228</v>
      </c>
      <c r="O26" s="21">
        <f t="shared" si="1"/>
        <v>234.615228</v>
      </c>
      <c r="P26" s="22">
        <f>SUM(P23:P25)</f>
        <v>282731344</v>
      </c>
      <c r="Q26" s="42">
        <v>278188270</v>
      </c>
      <c r="R26" s="43">
        <f>SUM(R23:R25)</f>
        <v>214400241</v>
      </c>
      <c r="S26" s="43">
        <v>229275927</v>
      </c>
      <c r="T26" s="43">
        <f>SUM(T23:T25)</f>
        <v>260590488</v>
      </c>
      <c r="U26" s="10">
        <v>182024935</v>
      </c>
      <c r="V26" s="10">
        <v>206122102</v>
      </c>
      <c r="W26" s="68" t="s">
        <v>237</v>
      </c>
      <c r="X26" s="68" t="s">
        <v>214</v>
      </c>
      <c r="Y26" s="68" t="s">
        <v>191</v>
      </c>
      <c r="Z26" s="68" t="s">
        <v>167</v>
      </c>
      <c r="AA26" s="68" t="s">
        <v>145</v>
      </c>
      <c r="AB26" s="69" t="s">
        <v>122</v>
      </c>
      <c r="AC26" s="69" t="s">
        <v>99</v>
      </c>
      <c r="AD26" s="69" t="s">
        <v>73</v>
      </c>
      <c r="AE26" s="69" t="s">
        <v>44</v>
      </c>
      <c r="AF26" s="69" t="s">
        <v>45</v>
      </c>
    </row>
    <row r="27" spans="1:32" ht="15.5">
      <c r="A27" s="33"/>
      <c r="B27" s="36"/>
      <c r="C27" s="36"/>
      <c r="D27" s="36"/>
      <c r="E27" s="36"/>
      <c r="F27" s="36"/>
      <c r="G27" s="61"/>
      <c r="H27" s="36"/>
      <c r="I27" s="36"/>
      <c r="J27" s="36"/>
      <c r="K27" s="36"/>
      <c r="L27" s="36"/>
      <c r="M27" s="21" t="s">
        <v>83</v>
      </c>
      <c r="N27" s="61"/>
      <c r="O27" s="21" t="s">
        <v>83</v>
      </c>
      <c r="P27" s="45"/>
      <c r="Q27" s="18"/>
      <c r="R27" s="44"/>
      <c r="S27" s="44"/>
      <c r="T27" s="44"/>
      <c r="U27" s="11"/>
      <c r="V27" s="11"/>
      <c r="W27" s="71"/>
      <c r="X27" s="71"/>
      <c r="Y27" s="71"/>
      <c r="Z27" s="71"/>
      <c r="AA27" s="71"/>
      <c r="AB27" s="72"/>
      <c r="AC27" s="72"/>
      <c r="AD27" s="72"/>
      <c r="AE27" s="72"/>
      <c r="AF27" s="72"/>
    </row>
    <row r="28" spans="1:32" ht="15.5">
      <c r="A28" s="33" t="s">
        <v>92</v>
      </c>
      <c r="B28" s="36"/>
      <c r="C28" s="36"/>
      <c r="D28" s="67">
        <v>42413379</v>
      </c>
      <c r="E28" s="67">
        <f>48308315</f>
        <v>48308315</v>
      </c>
      <c r="F28" s="67">
        <v>38196236</v>
      </c>
      <c r="G28" s="41">
        <v>43185494</v>
      </c>
      <c r="H28" s="41">
        <v>43412740</v>
      </c>
      <c r="I28" s="22">
        <v>35533312</v>
      </c>
      <c r="J28" s="22">
        <v>42530860</v>
      </c>
      <c r="K28" s="22">
        <v>38386197</v>
      </c>
      <c r="L28" s="21">
        <f t="shared" ref="L28:L29" si="34">K28/1000000</f>
        <v>38.386197000000003</v>
      </c>
      <c r="M28" s="22">
        <v>36977363</v>
      </c>
      <c r="N28" s="60">
        <v>36483632</v>
      </c>
      <c r="O28" s="21">
        <f t="shared" si="1"/>
        <v>36.483632</v>
      </c>
      <c r="P28" s="46">
        <v>33321224</v>
      </c>
      <c r="Q28" s="42">
        <v>32800016</v>
      </c>
      <c r="R28" s="43">
        <v>33549197</v>
      </c>
      <c r="S28" s="43">
        <v>30492862</v>
      </c>
      <c r="T28" s="43">
        <v>28882647</v>
      </c>
      <c r="U28" s="10">
        <v>27434477</v>
      </c>
      <c r="V28" s="10">
        <v>32060588</v>
      </c>
      <c r="W28" s="68" t="s">
        <v>238</v>
      </c>
      <c r="X28" s="68" t="s">
        <v>215</v>
      </c>
      <c r="Y28" s="68" t="s">
        <v>192</v>
      </c>
      <c r="Z28" s="68" t="s">
        <v>169</v>
      </c>
      <c r="AA28" s="68" t="s">
        <v>146</v>
      </c>
      <c r="AB28" s="69" t="s">
        <v>123</v>
      </c>
      <c r="AC28" s="69" t="s">
        <v>100</v>
      </c>
      <c r="AD28" s="69" t="s">
        <v>75</v>
      </c>
      <c r="AE28" s="69" t="s">
        <v>46</v>
      </c>
      <c r="AF28" s="69" t="s">
        <v>47</v>
      </c>
    </row>
    <row r="29" spans="1:32" ht="15.5">
      <c r="A29" s="33" t="s">
        <v>8</v>
      </c>
      <c r="B29" s="36"/>
      <c r="C29" s="36"/>
      <c r="D29" s="41">
        <f t="shared" ref="D29" si="35">SUM(D26:D28)</f>
        <v>445172549</v>
      </c>
      <c r="E29" s="41">
        <f t="shared" ref="E29" si="36">SUM(E26:E28)</f>
        <v>412226021</v>
      </c>
      <c r="F29" s="41">
        <f t="shared" ref="F29" si="37">SUM(F26:F28)</f>
        <v>378307991</v>
      </c>
      <c r="G29" s="41">
        <f>SUM(G26:G28)</f>
        <v>385629982</v>
      </c>
      <c r="H29" s="41">
        <f>SUM(H26:H28)</f>
        <v>420098974</v>
      </c>
      <c r="I29" s="41">
        <f>SUM(I26:I28)</f>
        <v>316800235</v>
      </c>
      <c r="J29" s="41">
        <f>SUM(J26:J28)</f>
        <v>346236716</v>
      </c>
      <c r="K29" s="22">
        <f>SUM(K26:K28)</f>
        <v>303557551</v>
      </c>
      <c r="L29" s="21">
        <f t="shared" si="34"/>
        <v>303.55755099999999</v>
      </c>
      <c r="M29" s="41">
        <f>SUM(M26:M28)</f>
        <v>346662676</v>
      </c>
      <c r="N29" s="60">
        <f>SUM(N26:N28)</f>
        <v>271098860</v>
      </c>
      <c r="O29" s="21">
        <f t="shared" si="1"/>
        <v>271.09886</v>
      </c>
      <c r="P29" s="22">
        <f>SUM(P26:P28)</f>
        <v>316052568</v>
      </c>
      <c r="Q29" s="42">
        <v>310243258</v>
      </c>
      <c r="R29" s="43">
        <f>SUM(R26:R28)</f>
        <v>247949438</v>
      </c>
      <c r="S29" s="43">
        <v>259768789</v>
      </c>
      <c r="T29" s="43">
        <f>SUM(T26:T28)</f>
        <v>289473135</v>
      </c>
      <c r="U29" s="10">
        <v>209459412</v>
      </c>
      <c r="V29" s="10">
        <v>238182690</v>
      </c>
      <c r="W29" s="68" t="s">
        <v>239</v>
      </c>
      <c r="X29" s="68" t="s">
        <v>216</v>
      </c>
      <c r="Y29" s="68" t="s">
        <v>193</v>
      </c>
      <c r="Z29" s="68" t="s">
        <v>170</v>
      </c>
      <c r="AA29" s="68" t="s">
        <v>147</v>
      </c>
      <c r="AB29" s="69" t="s">
        <v>124</v>
      </c>
      <c r="AC29" s="69" t="s">
        <v>101</v>
      </c>
      <c r="AD29" s="69" t="s">
        <v>76</v>
      </c>
      <c r="AE29" s="69" t="s">
        <v>48</v>
      </c>
      <c r="AF29" s="69" t="s">
        <v>49</v>
      </c>
    </row>
    <row r="30" spans="1:32" ht="15.5">
      <c r="A30" s="33"/>
      <c r="B30" s="36"/>
      <c r="C30" s="36"/>
      <c r="D30" s="36"/>
      <c r="E30" s="36"/>
      <c r="F30" s="36"/>
      <c r="G30" s="61"/>
      <c r="H30" s="36"/>
      <c r="I30" s="36"/>
      <c r="J30" s="36"/>
      <c r="K30" s="36"/>
      <c r="L30" s="36"/>
      <c r="M30" s="21">
        <f>G30/1000000</f>
        <v>0</v>
      </c>
      <c r="N30" s="61"/>
      <c r="O30" s="21" t="s">
        <v>83</v>
      </c>
      <c r="P30" s="45"/>
      <c r="Q30" s="18"/>
      <c r="R30" s="44"/>
      <c r="S30" s="44"/>
      <c r="T30" s="43"/>
      <c r="U30" s="11"/>
      <c r="V30" s="11"/>
      <c r="W30" s="71"/>
      <c r="X30" s="71"/>
      <c r="Y30" s="71"/>
      <c r="Z30" s="71"/>
      <c r="AA30" s="71"/>
      <c r="AB30" s="72"/>
      <c r="AC30" s="72"/>
      <c r="AD30" s="72"/>
      <c r="AE30" s="72"/>
      <c r="AF30" s="72"/>
    </row>
    <row r="31" spans="1:32" ht="15.5">
      <c r="A31" s="33" t="s">
        <v>50</v>
      </c>
      <c r="B31" s="36"/>
      <c r="C31" s="36"/>
      <c r="D31" s="67">
        <v>50060905</v>
      </c>
      <c r="E31" s="67">
        <f>52792669</f>
        <v>52792669</v>
      </c>
      <c r="F31" s="67">
        <v>50466366</v>
      </c>
      <c r="G31" s="41">
        <v>48956887</v>
      </c>
      <c r="H31" s="41">
        <v>48274644</v>
      </c>
      <c r="I31" s="41">
        <v>46305409</v>
      </c>
      <c r="J31" s="22">
        <v>49283642</v>
      </c>
      <c r="K31" s="22">
        <v>43420038</v>
      </c>
      <c r="L31" s="21">
        <f t="shared" ref="L31:L32" si="38">K31/1000000</f>
        <v>43.420037999999998</v>
      </c>
      <c r="M31" s="22">
        <v>41342043</v>
      </c>
      <c r="N31" s="60">
        <v>41343201</v>
      </c>
      <c r="O31" s="21">
        <f t="shared" si="1"/>
        <v>41.343201000000001</v>
      </c>
      <c r="P31" s="22">
        <v>45367517</v>
      </c>
      <c r="Q31" s="42">
        <v>44282728</v>
      </c>
      <c r="R31" s="43">
        <v>40234742</v>
      </c>
      <c r="S31" s="43">
        <v>39926143</v>
      </c>
      <c r="T31" s="48">
        <v>34139941</v>
      </c>
      <c r="U31" s="10">
        <v>32759545</v>
      </c>
      <c r="V31" s="10">
        <v>35306876</v>
      </c>
      <c r="W31" s="68" t="s">
        <v>240</v>
      </c>
      <c r="X31" s="68" t="s">
        <v>217</v>
      </c>
      <c r="Y31" s="68" t="s">
        <v>194</v>
      </c>
      <c r="Z31" s="68" t="s">
        <v>171</v>
      </c>
      <c r="AA31" s="68" t="s">
        <v>148</v>
      </c>
      <c r="AB31" s="69" t="s">
        <v>125</v>
      </c>
      <c r="AC31" s="69" t="s">
        <v>102</v>
      </c>
      <c r="AD31" s="69" t="s">
        <v>77</v>
      </c>
      <c r="AE31" s="69" t="s">
        <v>51</v>
      </c>
      <c r="AF31" s="69" t="s">
        <v>52</v>
      </c>
    </row>
    <row r="32" spans="1:32" ht="15.5">
      <c r="A32" s="33" t="s">
        <v>8</v>
      </c>
      <c r="B32" s="36"/>
      <c r="C32" s="36"/>
      <c r="D32" s="41">
        <f t="shared" ref="D32" si="39">SUM(D29:D31)</f>
        <v>495233454</v>
      </c>
      <c r="E32" s="41">
        <f t="shared" ref="E32" si="40">SUM(E29:E31)</f>
        <v>465018690</v>
      </c>
      <c r="F32" s="41">
        <f t="shared" ref="F32" si="41">SUM(F29:F31)</f>
        <v>428774357</v>
      </c>
      <c r="G32" s="41">
        <f>SUM(G29:G31)</f>
        <v>434586869</v>
      </c>
      <c r="H32" s="41">
        <f>SUM(H29:H31)</f>
        <v>468373618</v>
      </c>
      <c r="I32" s="41">
        <f>SUM(I29:I31)</f>
        <v>363105644</v>
      </c>
      <c r="J32" s="41">
        <f>SUM(J29:J31)</f>
        <v>395520358</v>
      </c>
      <c r="K32" s="22">
        <f>SUM(K29:K31)</f>
        <v>346977589</v>
      </c>
      <c r="L32" s="21">
        <f t="shared" si="38"/>
        <v>346.97758900000002</v>
      </c>
      <c r="M32" s="41">
        <f>SUM(M29:M31)</f>
        <v>388004719</v>
      </c>
      <c r="N32" s="60">
        <f>SUM(N29:N31)</f>
        <v>312442061</v>
      </c>
      <c r="O32" s="21">
        <f t="shared" si="1"/>
        <v>312.44206100000002</v>
      </c>
      <c r="P32" s="22">
        <f>SUM(P29:P31)</f>
        <v>361420085</v>
      </c>
      <c r="Q32" s="42">
        <v>355271014</v>
      </c>
      <c r="R32" s="43">
        <f>SUM(R29:R31)</f>
        <v>288184180</v>
      </c>
      <c r="S32" s="43">
        <v>299694932</v>
      </c>
      <c r="T32" s="43">
        <f>SUM(T29:T31)</f>
        <v>323613076</v>
      </c>
      <c r="U32" s="10">
        <v>242218957</v>
      </c>
      <c r="V32" s="10">
        <v>273489566</v>
      </c>
      <c r="W32" s="68" t="s">
        <v>241</v>
      </c>
      <c r="X32" s="68" t="s">
        <v>218</v>
      </c>
      <c r="Y32" s="68" t="s">
        <v>196</v>
      </c>
      <c r="Z32" s="68" t="s">
        <v>172</v>
      </c>
      <c r="AA32" s="68" t="s">
        <v>149</v>
      </c>
      <c r="AB32" s="69" t="s">
        <v>128</v>
      </c>
      <c r="AC32" s="69" t="s">
        <v>103</v>
      </c>
      <c r="AD32" s="69" t="s">
        <v>78</v>
      </c>
      <c r="AE32" s="69" t="s">
        <v>53</v>
      </c>
      <c r="AF32" s="69" t="s">
        <v>54</v>
      </c>
    </row>
    <row r="33" spans="1:32" ht="15.5">
      <c r="A33" s="33"/>
      <c r="B33" s="36"/>
      <c r="C33" s="36"/>
      <c r="D33" s="36"/>
      <c r="E33" s="36"/>
      <c r="F33" s="36"/>
      <c r="G33" s="61"/>
      <c r="H33" s="36"/>
      <c r="I33" s="36"/>
      <c r="J33" s="36"/>
      <c r="K33" s="36"/>
      <c r="L33" s="36"/>
      <c r="M33" s="21" t="s">
        <v>83</v>
      </c>
      <c r="N33" s="61"/>
      <c r="O33" s="21" t="s">
        <v>83</v>
      </c>
      <c r="P33" s="36"/>
      <c r="Q33" s="18"/>
      <c r="R33" s="44"/>
      <c r="S33" s="44"/>
      <c r="T33" s="44"/>
      <c r="U33" s="11"/>
      <c r="V33" s="11"/>
      <c r="W33" s="71"/>
      <c r="X33" s="71"/>
      <c r="Y33" s="71"/>
      <c r="Z33" s="71"/>
      <c r="AA33" s="71"/>
      <c r="AB33" s="72"/>
      <c r="AC33" s="72"/>
      <c r="AD33" s="72"/>
      <c r="AE33" s="72"/>
      <c r="AF33" s="72"/>
    </row>
    <row r="34" spans="1:32" ht="15.5">
      <c r="A34" s="33" t="s">
        <v>55</v>
      </c>
      <c r="B34" s="36"/>
      <c r="C34" s="36"/>
      <c r="D34" s="67">
        <v>47412589</v>
      </c>
      <c r="E34" s="76">
        <f>50905523</f>
        <v>50905523</v>
      </c>
      <c r="F34" s="67">
        <v>49220258</v>
      </c>
      <c r="G34" s="41">
        <v>50719163</v>
      </c>
      <c r="H34" s="57">
        <f>H35-H32</f>
        <v>46749923</v>
      </c>
      <c r="I34" s="41">
        <v>45087365</v>
      </c>
      <c r="J34" s="22">
        <v>45648572</v>
      </c>
      <c r="K34" s="22">
        <v>45373518</v>
      </c>
      <c r="L34" s="21">
        <f t="shared" ref="L34:L35" si="42">K34/1000000</f>
        <v>45.373517999999997</v>
      </c>
      <c r="M34" s="22">
        <v>39903194</v>
      </c>
      <c r="N34" s="60">
        <v>40381843</v>
      </c>
      <c r="O34" s="21">
        <f t="shared" si="1"/>
        <v>40.381843000000003</v>
      </c>
      <c r="P34" s="22">
        <v>38613864</v>
      </c>
      <c r="Q34" s="42">
        <v>35462628</v>
      </c>
      <c r="R34" s="43">
        <v>39976933</v>
      </c>
      <c r="S34" s="43">
        <v>36824662</v>
      </c>
      <c r="T34" s="43">
        <v>37062935</v>
      </c>
      <c r="U34" s="10">
        <v>35865643</v>
      </c>
      <c r="V34" s="10">
        <v>34405579</v>
      </c>
      <c r="W34" s="68" t="s">
        <v>242</v>
      </c>
      <c r="X34" s="68" t="s">
        <v>219</v>
      </c>
      <c r="Y34" s="68" t="s">
        <v>195</v>
      </c>
      <c r="Z34" s="68" t="s">
        <v>173</v>
      </c>
      <c r="AA34" s="68" t="s">
        <v>150</v>
      </c>
      <c r="AB34" s="69" t="s">
        <v>126</v>
      </c>
      <c r="AC34" s="69" t="s">
        <v>104</v>
      </c>
      <c r="AD34" s="69" t="s">
        <v>79</v>
      </c>
      <c r="AE34" s="69" t="s">
        <v>56</v>
      </c>
      <c r="AF34" s="69" t="s">
        <v>57</v>
      </c>
    </row>
    <row r="35" spans="1:32" ht="15.5">
      <c r="A35" s="33" t="s">
        <v>8</v>
      </c>
      <c r="B35" s="36"/>
      <c r="C35" s="36"/>
      <c r="D35" s="41">
        <f t="shared" ref="D35" si="43">SUM(D32:D34)</f>
        <v>542646043</v>
      </c>
      <c r="E35" s="77">
        <f t="shared" ref="E35" si="44">SUM(E32:E34)</f>
        <v>515924213</v>
      </c>
      <c r="F35" s="41">
        <f t="shared" ref="F35" si="45">SUM(F32:F34)</f>
        <v>477994615</v>
      </c>
      <c r="G35" s="41">
        <f>SUM(G32:G34)</f>
        <v>485306032</v>
      </c>
      <c r="H35" s="57">
        <f>H38-H37</f>
        <v>515123541</v>
      </c>
      <c r="I35" s="22">
        <f>SUM(I32:I34)</f>
        <v>408193009</v>
      </c>
      <c r="J35" s="22">
        <f>SUM(J32:J34)</f>
        <v>441168930</v>
      </c>
      <c r="K35" s="22">
        <f>SUM(K32:K34)</f>
        <v>392351107</v>
      </c>
      <c r="L35" s="21">
        <f t="shared" si="42"/>
        <v>392.35110700000001</v>
      </c>
      <c r="M35" s="22">
        <f>SUM(M32:M34)</f>
        <v>427907913</v>
      </c>
      <c r="N35" s="60">
        <f>SUM(N32:N34)</f>
        <v>352823904</v>
      </c>
      <c r="O35" s="21">
        <f t="shared" si="1"/>
        <v>352.82390400000003</v>
      </c>
      <c r="P35" s="22">
        <f>SUM(P32:P34)</f>
        <v>400033949</v>
      </c>
      <c r="Q35" s="42">
        <v>390733642</v>
      </c>
      <c r="R35" s="43">
        <f>SUM(R32:R34)</f>
        <v>328161113</v>
      </c>
      <c r="S35" s="43">
        <v>336519594</v>
      </c>
      <c r="T35" s="43">
        <f>SUM(T32:T34)</f>
        <v>360676011</v>
      </c>
      <c r="U35" s="10">
        <v>278084600</v>
      </c>
      <c r="V35" s="10">
        <v>307895145</v>
      </c>
      <c r="W35" s="73" t="s">
        <v>243</v>
      </c>
      <c r="X35" s="73" t="s">
        <v>220</v>
      </c>
      <c r="Y35" s="73" t="s">
        <v>197</v>
      </c>
      <c r="Z35" s="73" t="s">
        <v>174</v>
      </c>
      <c r="AA35" s="73" t="s">
        <v>151</v>
      </c>
      <c r="AB35" s="74" t="s">
        <v>127</v>
      </c>
      <c r="AC35" s="74" t="s">
        <v>105</v>
      </c>
      <c r="AD35" s="74" t="s">
        <v>80</v>
      </c>
      <c r="AE35" s="74" t="s">
        <v>58</v>
      </c>
      <c r="AF35" s="69" t="s">
        <v>59</v>
      </c>
    </row>
    <row r="36" spans="1:32" ht="15.5">
      <c r="A36" s="33"/>
      <c r="B36" s="36"/>
      <c r="C36" s="36"/>
      <c r="D36" s="36"/>
      <c r="E36" s="36"/>
      <c r="F36" s="36"/>
      <c r="G36" s="61"/>
      <c r="H36" s="36"/>
      <c r="I36" s="36"/>
      <c r="J36" s="36"/>
      <c r="K36" s="36"/>
      <c r="L36" s="36"/>
      <c r="M36" s="21" t="s">
        <v>83</v>
      </c>
      <c r="N36" s="61"/>
      <c r="O36" s="21" t="s">
        <v>83</v>
      </c>
      <c r="P36" s="36"/>
      <c r="Q36" s="18"/>
      <c r="R36" s="44"/>
      <c r="S36" s="44"/>
      <c r="T36" s="44"/>
      <c r="U36" s="11"/>
      <c r="V36" s="11"/>
      <c r="W36" s="71"/>
      <c r="X36" s="71"/>
      <c r="Y36" s="71"/>
      <c r="Z36" s="71"/>
      <c r="AA36" s="71"/>
      <c r="AB36" s="72"/>
      <c r="AC36" s="72"/>
      <c r="AD36" s="72"/>
      <c r="AE36" s="72"/>
      <c r="AF36" s="72"/>
    </row>
    <row r="37" spans="1:32" ht="15.5">
      <c r="A37" s="33" t="s">
        <v>60</v>
      </c>
      <c r="B37" s="36"/>
      <c r="C37" s="36"/>
      <c r="D37" s="67">
        <f>D38-D35</f>
        <v>55831682</v>
      </c>
      <c r="E37" s="67">
        <f>54335964</f>
        <v>54335964</v>
      </c>
      <c r="F37" s="67">
        <v>55322615</v>
      </c>
      <c r="G37" s="41">
        <v>52526356</v>
      </c>
      <c r="H37" s="41">
        <v>54411935</v>
      </c>
      <c r="I37" s="41">
        <v>50659940</v>
      </c>
      <c r="J37" s="22">
        <v>51829793</v>
      </c>
      <c r="K37" s="22">
        <v>47506633</v>
      </c>
      <c r="L37" s="21">
        <f t="shared" ref="L37:L38" si="46">K37/1000000</f>
        <v>47.506633000000001</v>
      </c>
      <c r="M37" s="22">
        <v>45103410</v>
      </c>
      <c r="N37" s="60">
        <v>46387460</v>
      </c>
      <c r="O37" s="21">
        <f t="shared" si="1"/>
        <v>46.387459999999997</v>
      </c>
      <c r="P37" s="22">
        <v>45070785</v>
      </c>
      <c r="Q37" s="42">
        <v>41719058</v>
      </c>
      <c r="R37" s="43">
        <v>41400811</v>
      </c>
      <c r="S37" s="43">
        <v>41392584</v>
      </c>
      <c r="T37" s="43">
        <v>38330366</v>
      </c>
      <c r="U37" s="10">
        <v>36113771</v>
      </c>
      <c r="V37" s="10">
        <v>37921685</v>
      </c>
      <c r="W37" s="68" t="s">
        <v>244</v>
      </c>
      <c r="X37" s="68" t="s">
        <v>221</v>
      </c>
      <c r="Y37" s="68" t="s">
        <v>198</v>
      </c>
      <c r="Z37" s="68" t="s">
        <v>175</v>
      </c>
      <c r="AA37" s="68" t="s">
        <v>152</v>
      </c>
      <c r="AB37" s="69" t="s">
        <v>129</v>
      </c>
      <c r="AC37" s="69" t="s">
        <v>106</v>
      </c>
      <c r="AD37" s="69" t="s">
        <v>82</v>
      </c>
      <c r="AE37" s="69" t="s">
        <v>61</v>
      </c>
      <c r="AF37" s="69" t="s">
        <v>62</v>
      </c>
    </row>
    <row r="38" spans="1:32" ht="15.5">
      <c r="A38" s="33" t="s">
        <v>63</v>
      </c>
      <c r="B38" s="36"/>
      <c r="C38" s="36"/>
      <c r="D38" s="41">
        <v>598477725</v>
      </c>
      <c r="E38" s="41">
        <f t="shared" ref="E38" si="47">SUM(E35:E37)</f>
        <v>570260177</v>
      </c>
      <c r="F38" s="41">
        <f t="shared" ref="F38" si="48">SUM(F35:F37)</f>
        <v>533317230</v>
      </c>
      <c r="G38" s="41">
        <f>SUM(G35:G37)</f>
        <v>537832388</v>
      </c>
      <c r="H38" s="41">
        <v>569535476</v>
      </c>
      <c r="I38" s="41">
        <f>SUM(I35:I37)</f>
        <v>458852949</v>
      </c>
      <c r="J38" s="41">
        <f>SUM(J35:J37)</f>
        <v>492998723</v>
      </c>
      <c r="K38" s="22">
        <f>SUM(K35:K37)</f>
        <v>439857740</v>
      </c>
      <c r="L38" s="40">
        <f t="shared" si="46"/>
        <v>439.85773999999998</v>
      </c>
      <c r="M38" s="22">
        <f>SUM(M35:M37)</f>
        <v>473011323</v>
      </c>
      <c r="N38" s="60">
        <f>SUM(N35:N37)</f>
        <v>399211364</v>
      </c>
      <c r="O38" s="21">
        <f t="shared" si="1"/>
        <v>399.211364</v>
      </c>
      <c r="P38" s="22">
        <f>SUM(P35:P37)</f>
        <v>445104734</v>
      </c>
      <c r="Q38" s="42">
        <f>SUM(Q5+Q7+Q10+Q13+Q16+Q19+Q22+Q25+Q28+Q31+Q34+Q37)</f>
        <v>432452700</v>
      </c>
      <c r="R38" s="43">
        <v>369561924</v>
      </c>
      <c r="S38" s="43">
        <f>SUM(S5+S7+S10+S13+S16+S19+S22+S25+S28+S31+S34+S37)</f>
        <v>377912178</v>
      </c>
      <c r="T38" s="43">
        <f>SUM(T5+T7+T10+T13+T16+T19+T22+T25+T28+T31+T34+T37)</f>
        <v>399006377</v>
      </c>
      <c r="U38" s="10">
        <v>314198371</v>
      </c>
      <c r="V38" s="10">
        <f>SUM(V5+V7+V10+V13+V16+V19+V22+V25+V28+V31+V34+V37)</f>
        <v>345816830</v>
      </c>
      <c r="W38" s="68" t="s">
        <v>245</v>
      </c>
      <c r="X38" s="68" t="s">
        <v>222</v>
      </c>
      <c r="Y38" s="68" t="s">
        <v>199</v>
      </c>
      <c r="Z38" s="68" t="s">
        <v>176</v>
      </c>
      <c r="AA38" s="68" t="s">
        <v>153</v>
      </c>
      <c r="AB38" s="69" t="s">
        <v>130</v>
      </c>
      <c r="AC38" s="69" t="s">
        <v>107</v>
      </c>
      <c r="AD38" s="69" t="s">
        <v>81</v>
      </c>
      <c r="AE38" s="69" t="s">
        <v>64</v>
      </c>
      <c r="AF38" s="69" t="s">
        <v>65</v>
      </c>
    </row>
    <row r="39" spans="1:32" ht="19">
      <c r="A39" s="34"/>
      <c r="B39" s="30"/>
      <c r="C39" s="30"/>
      <c r="D39" s="36"/>
      <c r="E39" s="30"/>
      <c r="F39" s="30"/>
      <c r="G39" s="62"/>
      <c r="H39" s="30"/>
      <c r="I39" s="30"/>
      <c r="J39" s="30"/>
      <c r="K39" s="30"/>
      <c r="L39" s="30"/>
      <c r="M39" s="30"/>
      <c r="N39" s="62"/>
      <c r="O39" s="22"/>
      <c r="P39" s="30"/>
      <c r="Q39" s="49"/>
      <c r="R39" s="16"/>
      <c r="S39" s="13"/>
      <c r="T39" s="13"/>
      <c r="U39" s="14"/>
      <c r="V39" s="13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13" thickBot="1">
      <c r="A40" s="35"/>
      <c r="B40" s="31"/>
      <c r="C40" s="31"/>
      <c r="D40" s="50"/>
      <c r="E40" s="31"/>
      <c r="F40" s="31"/>
      <c r="G40" s="64"/>
      <c r="H40" s="31"/>
      <c r="I40" s="31"/>
      <c r="J40" s="31"/>
      <c r="K40" s="31"/>
      <c r="L40" s="31"/>
      <c r="M40" s="50"/>
      <c r="N40" s="63"/>
      <c r="O40" s="29"/>
      <c r="P40" s="50"/>
      <c r="Q40" s="19"/>
      <c r="R40" s="51"/>
      <c r="S40" s="52"/>
      <c r="T40" s="51"/>
      <c r="U40" s="8"/>
      <c r="V40" s="8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2" spans="1:32" ht="14">
      <c r="Q42" s="53"/>
    </row>
    <row r="43" spans="1:32">
      <c r="Q43" s="54"/>
      <c r="R43" s="54"/>
      <c r="T43" s="55"/>
      <c r="U43" s="5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 spans="1:32">
      <c r="Q44" s="54"/>
      <c r="R44" s="54"/>
    </row>
    <row r="47" spans="1:32">
      <c r="Q47" s="54"/>
      <c r="R47" s="54"/>
      <c r="T47" s="55"/>
      <c r="U47" s="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51" spans="20:32">
      <c r="T51" s="55"/>
      <c r="U51" s="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3" spans="20:32" ht="14">
      <c r="T53" s="56"/>
      <c r="U53" s="7"/>
    </row>
    <row r="55" spans="20:32">
      <c r="T55" s="55"/>
      <c r="U55" s="5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9" spans="20:32">
      <c r="T59" s="55"/>
      <c r="U59" s="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3" spans="20:32">
      <c r="T63" s="55"/>
      <c r="U63" s="5"/>
      <c r="W63" s="55"/>
      <c r="X63" s="55"/>
      <c r="Y63" s="55"/>
      <c r="Z63" s="55"/>
      <c r="AA63" s="55"/>
      <c r="AB63" s="55"/>
      <c r="AC63" s="55"/>
      <c r="AD63" s="55"/>
      <c r="AE63" s="55"/>
      <c r="AF63" s="55"/>
    </row>
    <row r="67" spans="20:32">
      <c r="T67" s="55"/>
      <c r="U67" s="5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71" spans="20:32">
      <c r="T71" s="55"/>
      <c r="U71" s="5"/>
      <c r="W71" s="55"/>
      <c r="X71" s="55"/>
      <c r="Y71" s="55"/>
      <c r="Z71" s="55"/>
      <c r="AA71" s="55"/>
      <c r="AB71" s="55"/>
      <c r="AC71" s="55"/>
      <c r="AD71" s="55"/>
      <c r="AE71" s="55"/>
      <c r="AF71" s="55"/>
    </row>
    <row r="73" spans="20:32"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20:32">
      <c r="W74" s="75"/>
      <c r="X74" s="75"/>
      <c r="Y74" s="75"/>
      <c r="Z74" s="75"/>
      <c r="AA74" s="75"/>
      <c r="AB74" s="75"/>
      <c r="AC74" s="75"/>
      <c r="AD74" s="75"/>
      <c r="AE74" s="75"/>
      <c r="AF74" s="75"/>
    </row>
    <row r="76" spans="20:32">
      <c r="W76" s="75"/>
      <c r="X76" s="75"/>
      <c r="Y76" s="75"/>
      <c r="Z76" s="75"/>
      <c r="AA76" s="75"/>
      <c r="AB76" s="75"/>
      <c r="AC76" s="75"/>
      <c r="AD76" s="75"/>
      <c r="AE76" s="75"/>
      <c r="AF76" s="75"/>
    </row>
    <row r="77" spans="20:32" ht="13"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20:32">
      <c r="W78" s="6"/>
      <c r="X78" s="6"/>
      <c r="Y78" s="6"/>
      <c r="Z78" s="6"/>
      <c r="AA78" s="6"/>
      <c r="AB78" s="6"/>
      <c r="AC78" s="6"/>
      <c r="AD78" s="6"/>
      <c r="AE78" s="6"/>
      <c r="AF78" s="6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cropfig23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Customer</dc:creator>
  <cp:lastModifiedBy>Drew Brown - M J Clarke Ltd</cp:lastModifiedBy>
  <cp:lastPrinted>2012-07-13T09:52:30Z</cp:lastPrinted>
  <dcterms:created xsi:type="dcterms:W3CDTF">1998-07-16T12:50:41Z</dcterms:created>
  <dcterms:modified xsi:type="dcterms:W3CDTF">2025-09-24T05:54:09Z</dcterms:modified>
</cp:coreProperties>
</file>